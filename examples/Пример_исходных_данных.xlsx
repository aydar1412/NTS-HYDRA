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Инструкция" sheetId="1" state="visible" r:id="rId1"/>
    <sheet xmlns:r="http://schemas.openxmlformats.org/officeDocument/2006/relationships" name="01 Общие сведения" sheetId="2" state="visible" r:id="rId2"/>
    <sheet xmlns:r="http://schemas.openxmlformats.org/officeDocument/2006/relationships" name="02 Конструкция" sheetId="3" state="visible" r:id="rId3"/>
    <sheet xmlns:r="http://schemas.openxmlformats.org/officeDocument/2006/relationships" name="03 Инклинометрия" sheetId="4" state="visible" r:id="rId4"/>
    <sheet xmlns:r="http://schemas.openxmlformats.org/officeDocument/2006/relationships" name="04 Разрез и давления" sheetId="5" state="visible" r:id="rId5"/>
    <sheet xmlns:r="http://schemas.openxmlformats.org/officeDocument/2006/relationships" name="05 Интервалы бурения" sheetId="6" state="visible" r:id="rId6"/>
    <sheet xmlns:r="http://schemas.openxmlformats.org/officeDocument/2006/relationships" name="06 Буровой раствор" sheetId="7" state="visible" r:id="rId7"/>
    <sheet xmlns:r="http://schemas.openxmlformats.org/officeDocument/2006/relationships" name="07 Насадки долот" sheetId="8" state="visible" r:id="rId8"/>
    <sheet xmlns:r="http://schemas.openxmlformats.org/officeDocument/2006/relationships" name="08 ВЗД" sheetId="9" state="visible" r:id="rId9"/>
    <sheet xmlns:r="http://schemas.openxmlformats.org/officeDocument/2006/relationships" name="09 Телесистема" sheetId="10" state="visible" r:id="rId10"/>
    <sheet xmlns:r="http://schemas.openxmlformats.org/officeDocument/2006/relationships" name="10 КНБК" sheetId="11" state="visible" r:id="rId11"/>
    <sheet xmlns:r="http://schemas.openxmlformats.org/officeDocument/2006/relationships" name="11 Бурильная колонна" sheetId="12" state="visible" r:id="rId12"/>
    <sheet xmlns:r="http://schemas.openxmlformats.org/officeDocument/2006/relationships" name="12 Буровые насосы" sheetId="13" state="visible" r:id="rId13"/>
    <sheet xmlns:r="http://schemas.openxmlformats.org/officeDocument/2006/relationships" name="13 Наземная обвязка" sheetId="14" state="visible" r:id="rId14"/>
    <sheet xmlns:r="http://schemas.openxmlformats.org/officeDocument/2006/relationships" name="14 Шлам" sheetId="15" state="visible" r:id="rId15"/>
    <sheet xmlns:r="http://schemas.openxmlformats.org/officeDocument/2006/relationships" name="15 Температур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C8901A"/>
      <sz val="20"/>
    </font>
    <font>
      <name val="Arial"/>
      <b val="1"/>
      <color rgb="003A3A3A"/>
      <sz val="11"/>
    </font>
    <font>
      <name val="Arial"/>
      <i val="1"/>
      <color rgb="006C6C6E"/>
      <sz val="9"/>
    </font>
    <font>
      <name val="Arial"/>
      <b val="1"/>
      <color rgb="003A3A3A"/>
      <sz val="13"/>
    </font>
    <font>
      <name val="Arial"/>
      <b val="1"/>
      <color rgb="003A3A3A"/>
      <sz val="10"/>
    </font>
    <font>
      <name val="Arial"/>
      <color rgb="003A3A3A"/>
      <sz val="10"/>
    </font>
    <font>
      <name val="Arial"/>
      <b val="1"/>
      <color rgb="00B0402F"/>
      <sz val="10"/>
    </font>
    <font>
      <name val="Arial"/>
      <b val="1"/>
      <color rgb="00FFFFFF"/>
      <sz val="9.5"/>
    </font>
    <font>
      <name val="Arial"/>
      <b val="1"/>
      <color rgb="00C8901A"/>
      <sz val="10"/>
    </font>
    <font>
      <name val="Arial"/>
      <b val="1"/>
      <color rgb="006B8E3D"/>
      <sz val="10"/>
    </font>
    <font>
      <name val="Arial"/>
      <i val="1"/>
      <color rgb="009A9A9C"/>
      <sz val="9.5"/>
    </font>
  </fonts>
  <fills count="5">
    <fill>
      <patternFill/>
    </fill>
    <fill>
      <patternFill patternType="gray125"/>
    </fill>
    <fill>
      <patternFill patternType="solid">
        <fgColor rgb="0058585A"/>
      </patternFill>
    </fill>
    <fill>
      <patternFill patternType="solid">
        <fgColor rgb="00F8C818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D2D0CB"/>
      </left>
      <right style="thin">
        <color rgb="00D2D0CB"/>
      </right>
      <top style="thin">
        <color rgb="00D2D0CB"/>
      </top>
      <bottom style="thin">
        <color rgb="00D2D0C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0" fillId="3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6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NTS-HYDRA</author>
  </authors>
  <commentList>
    <comment ref="F4" authorId="0" shapeId="0">
      <text>
        <t>Заполняется только для хвостовика.
Для колонн от устья оставьте пусто.</t>
      </text>
    </comment>
  </commentList>
</comments>
</file>

<file path=xl/comments/comment2.xml><?xml version="1.0" encoding="utf-8"?>
<comments xmlns="http://schemas.openxmlformats.org/spreadsheetml/2006/main">
  <authors>
    <author>NTS-HYDRA</author>
  </authors>
  <commentList>
    <comment ref="B4" authorId="0" shapeId="0">
      <text>
        <t>Угол отклонения от вертикали.
0° - вертикаль, 90° - горизонталь.</t>
      </text>
    </comment>
  </commentList>
</comments>
</file>

<file path=xl/comments/comment3.xml><?xml version="1.0" encoding="utf-8"?>
<comments xmlns="http://schemas.openxmlformats.org/spreadsheetml/2006/main">
  <authors>
    <author>NTS-HYDRA</author>
  </authors>
  <commentList>
    <comment ref="E4" authorId="0" shapeId="0">
      <text>
        <t>Нужна для расчёта выноса шлама
и вклада шлама в ЭЦП.</t>
      </text>
    </comment>
    <comment ref="G4" authorId="0" shapeId="0">
      <text>
        <t>Эквивалентная плотность давления
гидроразрыва пласта.</t>
      </text>
    </comment>
  </commentList>
</comments>
</file>

<file path=xl/comments/comment4.xml><?xml version="1.0" encoding="utf-8"?>
<comments xmlns="http://schemas.openxmlformats.org/spreadsheetml/2006/main">
  <authors>
    <author>NTS-HYDRA</author>
  </authors>
  <commentList>
    <comment ref="F4" authorId="0" shapeId="0">
      <text>
        <t>ротор / ротор+ВЗД / ВЗД / РУС</t>
      </text>
    </comment>
    <comment ref="G4" authorId="0" shapeId="0">
      <text>
        <t>Можно диапазон: 50-55.
Какой край брать - задаётся в конфигурации.</t>
      </text>
    </comment>
    <comment ref="I4" authorId="0" shapeId="0">
      <text>
        <t>Увеличение ДИАМЕТРА открытого ствола.
Типично 1,03…1,25. Влияет на скорость
в затрубье и ЭЦП.</t>
      </text>
    </comment>
    <comment ref="J4" authorId="0" shapeId="0">
      <text>
        <t>Обороты ротора или верхнего привода.
0 или пусто - бурение скольжением
на ВЗД без вращения колонны.</t>
      </text>
    </comment>
  </commentList>
</comments>
</file>

<file path=xl/comments/comment5.xml><?xml version="1.0" encoding="utf-8"?>
<comments xmlns="http://schemas.openxmlformats.org/spreadsheetml/2006/main">
  <authors>
    <author>NTS-HYDRA</author>
  </authors>
  <commentList>
    <comment ref="D4" authorId="0" shapeId="0">
      <text>
        <t>Показание при 600 об/мин,
фунт/100 фут².</t>
      </text>
    </comment>
    <comment ref="I4" authorId="0" shapeId="0">
      <text>
        <t>Показание при 3 об/мин.
Определяет несущую способность
в затрубье.</t>
      </text>
    </comment>
    <comment ref="N4" authorId="0" shapeId="0">
      <text>
        <t>Пластическая вязкость.
Заполняется, если показаний
вискозиметра нет.</t>
      </text>
    </comment>
    <comment ref="P4" authorId="0" shapeId="0">
      <text>
        <t>Гершеля-Балкли / степенная / Бингама.
Пусто или «авто» - выбор по данным:
есть θ6 и θ3 - Гершеля-Балкли,
есть θ600 и θ300 - степенная,
только ПВ и ДНС - Бингама.</t>
      </text>
    </comment>
  </commentList>
</comments>
</file>

<file path=xl/comments/comment6.xml><?xml version="1.0" encoding="utf-8"?>
<comments xmlns="http://schemas.openxmlformats.org/spreadsheetml/2006/main">
  <authors>
    <author>NTS-HYDRA</author>
  </authors>
  <commentList>
    <comment ref="B4" authorId="0" shapeId="0">
      <text>
        <t>Диаметр в 1/32 дюйма.
16 = 16/32" = 12,7 мм.</t>
      </text>
    </comment>
    <comment ref="J4" authorId="0" shapeId="0">
      <text>
        <t>Суммарная площадь промывочных отверстий.</t>
      </text>
    </comment>
  </commentList>
</comments>
</file>

<file path=xl/comments/comment7.xml><?xml version="1.0" encoding="utf-8"?>
<comments xmlns="http://schemas.openxmlformats.org/spreadsheetml/2006/main">
  <authors>
    <author>NTS-HYDRA</author>
  </authors>
  <commentList>
    <comment ref="G4" authorId="0" shapeId="0">
      <text>
        <t>Перепад давления при циркуляции
без нагрузки на долото,
при расходе max.</t>
      </text>
    </comment>
    <comment ref="H4" authorId="0" shapeId="0">
      <text>
        <t>Дополнительный перепад
при рабочем моменте.</t>
      </text>
    </comment>
  </commentList>
</comments>
</file>

<file path=xl/comments/comment8.xml><?xml version="1.0" encoding="utf-8"?>
<comments xmlns="http://schemas.openxmlformats.org/spreadsheetml/2006/main">
  <authors>
    <author>NTS-HYDRA</author>
  </authors>
  <commentList>
    <comment ref="C4" authorId="0" shapeId="0">
      <text>
        <t>Длина без ниппеля.</t>
      </text>
    </comment>
    <comment ref="E4" authorId="0" shapeId="0">
      <text>
        <t>Для долота и ВЗД можно не заполнять:
они считаются по своим моделям.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NTS-HYDRA   version 0.1 alpha</t>
        </is>
      </c>
    </row>
    <row r="2">
      <c r="A2" s="2" t="inlineStr">
        <is>
          <t>Исходные данные для гидравлического расчёта промывки скважины</t>
        </is>
      </c>
    </row>
    <row r="3">
      <c r="A3" s="3" t="inlineStr">
        <is>
          <t>by AR   ·   НьюТек Сервисез</t>
        </is>
      </c>
    </row>
    <row r="5">
      <c r="A5" s="4" t="inlineStr">
        <is>
          <t>КАК ЗАПОЛНЯТЬ</t>
        </is>
      </c>
    </row>
    <row r="6" ht="28" customHeight="1">
      <c r="A6" s="5" t="inlineStr">
        <is>
          <t>1.</t>
        </is>
      </c>
      <c r="B6" s="6" t="inlineStr">
        <is>
          <t>Листы пронумерованы в том порядке, в котором их удобно заполнять. Идите сверху вниз.</t>
        </is>
      </c>
    </row>
    <row r="7" ht="28" customHeight="1">
      <c r="A7" s="5" t="inlineStr">
        <is>
          <t>2.</t>
        </is>
      </c>
      <c r="B7" s="6" t="inlineStr">
        <is>
          <t>Заполняются только ячейки со светло-жёлтой заливкой. Серые шапки и первый столбец не трогайте.</t>
        </is>
      </c>
    </row>
    <row r="8" ht="28" customHeight="1">
      <c r="A8" s="5" t="inlineStr">
        <is>
          <t>3.</t>
        </is>
      </c>
      <c r="B8" s="6" t="inlineStr">
        <is>
          <t>Если данных нет - напишите  н/д . Программа возьмёт значение из своей конфигурации и отметит это в расчёте. Пустая ячейка равнозначна «н/д».</t>
        </is>
      </c>
    </row>
    <row r="9" ht="28" customHeight="1">
      <c r="A9" s="5" t="inlineStr">
        <is>
          <t>4.</t>
        </is>
      </c>
      <c r="B9" s="6" t="inlineStr">
        <is>
          <t>Строка «ПРИМЕР →» внизу каждой таблицы показывает формат. Её можно удалить или оставить - программа её игнорирует.</t>
        </is>
      </c>
    </row>
    <row r="10" ht="28" customHeight="1">
      <c r="A10" s="5" t="inlineStr">
        <is>
          <t>5.</t>
        </is>
      </c>
      <c r="B10" s="6" t="inlineStr">
        <is>
          <t>Названия интервалов в первом столбце менять НЕЛЬЗЯ: по ним связываются данные всех листов. Если интервалов больше или меньше - правьте лист «05 Интервалы бурения», остальные листы подстроятся.</t>
        </is>
      </c>
    </row>
    <row r="11" ht="28" customHeight="1">
      <c r="A11" s="5" t="inlineStr">
        <is>
          <t>6.</t>
        </is>
      </c>
      <c r="B11" s="6" t="inlineStr">
        <is>
          <t>Каждая величина вводится ровно один раз. Если кажется, что данные повторяются на разных листах - перепроверьте, скорее всего это разные величины.</t>
        </is>
      </c>
    </row>
    <row r="12" ht="28" customHeight="1">
      <c r="A12" s="5" t="inlineStr">
        <is>
          <t>7.</t>
        </is>
      </c>
      <c r="B12" s="6" t="inlineStr">
        <is>
          <t>Числа пишите с точкой или запятой - оба варианта понимаются. Диапазон вида 50-55 тоже допустим, программа возьмёт нужный край.</t>
        </is>
      </c>
    </row>
    <row r="14">
      <c r="A14" s="4" t="inlineStr">
        <is>
          <t>ВАЖНО</t>
        </is>
      </c>
    </row>
    <row r="15" ht="26" customHeight="1">
      <c r="B15" s="7" t="inlineStr">
        <is>
          <t>На листах «08 ВЗД» и «09 Телесистема» слово  нет  означает «оборудование не применяется, перепад давления равен нулю».</t>
        </is>
      </c>
    </row>
    <row r="16" ht="26" customHeight="1">
      <c r="B16" s="7" t="inlineStr">
        <is>
          <t>Слово  н/д  на тех же листах означает «данных пока нет» - будет взято значение из конфигурации. Это разные вещи.</t>
        </is>
      </c>
    </row>
    <row r="18">
      <c r="A18" s="4" t="inlineStr">
        <is>
          <t>СОСТАВ ФАЙЛА</t>
        </is>
      </c>
    </row>
    <row r="19">
      <c r="A19" s="8" t="inlineStr">
        <is>
          <t>Лист</t>
        </is>
      </c>
      <c r="B19" s="8" t="inlineStr">
        <is>
          <t>Что содержит</t>
        </is>
      </c>
      <c r="C19" s="8" t="inlineStr">
        <is>
          <t>Приоритет</t>
        </is>
      </c>
    </row>
    <row r="20">
      <c r="A20" s="9" t="inlineStr">
        <is>
          <t>01 Общие сведения</t>
        </is>
      </c>
      <c r="B20" s="10" t="inlineStr">
        <is>
          <t>заказчик, месторождение, куст, скважина, подрядчик, исполнитель</t>
        </is>
      </c>
      <c r="C20" s="11" t="inlineStr">
        <is>
          <t>обязательно</t>
        </is>
      </c>
    </row>
    <row r="21">
      <c r="A21" s="9" t="inlineStr">
        <is>
          <t>02 Конструкция</t>
        </is>
      </c>
      <c r="B21" s="10" t="inlineStr">
        <is>
          <t>обсадные колонны: диаметр, стенка, глубина спуска</t>
        </is>
      </c>
      <c r="C21" s="11" t="inlineStr">
        <is>
          <t>обязательно</t>
        </is>
      </c>
    </row>
    <row r="22">
      <c r="A22" s="9" t="inlineStr">
        <is>
          <t>03 Инклинометрия</t>
        </is>
      </c>
      <c r="B22" s="10" t="inlineStr">
        <is>
          <t>MD / зенитный угол / азимут по стволу</t>
        </is>
      </c>
      <c r="C22" s="11" t="inlineStr">
        <is>
          <t>обязательно</t>
        </is>
      </c>
    </row>
    <row r="23">
      <c r="A23" s="9" t="inlineStr">
        <is>
          <t>04 Разрез и давления</t>
        </is>
      </c>
      <c r="B23" s="10" t="inlineStr">
        <is>
          <t>свиты, литология, плотность породы, поровое давление и давление ГРП</t>
        </is>
      </c>
      <c r="C23" s="12" t="inlineStr">
        <is>
          <t>важно</t>
        </is>
      </c>
    </row>
    <row r="24">
      <c r="A24" s="9" t="inlineStr">
        <is>
          <t>05 Интервалы бурения</t>
        </is>
      </c>
      <c r="B24" s="10" t="inlineStr">
        <is>
          <t>разбивка на интервалы, диаметр долота, МСП, расход, кавернозность</t>
        </is>
      </c>
      <c r="C24" s="11" t="inlineStr">
        <is>
          <t>обязательно</t>
        </is>
      </c>
    </row>
    <row r="25">
      <c r="A25" s="9" t="inlineStr">
        <is>
          <t>06 Буровой раствор</t>
        </is>
      </c>
      <c r="B25" s="10" t="inlineStr">
        <is>
          <t>плотность, показания Фанна, СНС, температура</t>
        </is>
      </c>
      <c r="C25" s="11" t="inlineStr">
        <is>
          <t>обязательно</t>
        </is>
      </c>
    </row>
    <row r="26">
      <c r="A26" s="9" t="inlineStr">
        <is>
          <t>07 Насадки долот</t>
        </is>
      </c>
      <c r="B26" s="10" t="inlineStr">
        <is>
          <t>диаметры насадок или TFA</t>
        </is>
      </c>
      <c r="C26" s="11" t="inlineStr">
        <is>
          <t>обязательно</t>
        </is>
      </c>
    </row>
    <row r="27">
      <c r="A27" s="9" t="inlineStr">
        <is>
          <t>08 ВЗД</t>
        </is>
      </c>
      <c r="B27" s="10" t="inlineStr">
        <is>
          <t>типоразмер, расход, перепады давления</t>
        </is>
      </c>
      <c r="C27" s="11" t="inlineStr">
        <is>
          <t>обязательно</t>
        </is>
      </c>
    </row>
    <row r="28">
      <c r="A28" s="9" t="inlineStr">
        <is>
          <t>09 Телесистема</t>
        </is>
      </c>
      <c r="B28" s="10" t="inlineStr">
        <is>
          <t>тип, перепад давления</t>
        </is>
      </c>
      <c r="C28" s="11" t="inlineStr">
        <is>
          <t>обязательно</t>
        </is>
      </c>
    </row>
    <row r="29">
      <c r="A29" s="9" t="inlineStr">
        <is>
          <t>10 КНБК</t>
        </is>
      </c>
      <c r="B29" s="10" t="inlineStr">
        <is>
          <t>все компоновки в одной таблице, снизу вверх от долота</t>
        </is>
      </c>
      <c r="C29" s="11" t="inlineStr">
        <is>
          <t>обязательно</t>
        </is>
      </c>
    </row>
    <row r="30">
      <c r="A30" s="9" t="inlineStr">
        <is>
          <t>11 Бурильная колонна</t>
        </is>
      </c>
      <c r="B30" s="10" t="inlineStr">
        <is>
          <t>трубы выше КНБК по интервалам</t>
        </is>
      </c>
      <c r="C30" s="11" t="inlineStr">
        <is>
          <t>обязательно</t>
        </is>
      </c>
    </row>
    <row r="31">
      <c r="A31" s="9" t="inlineStr">
        <is>
          <t>12 Буровые насосы</t>
        </is>
      </c>
      <c r="B31" s="10" t="inlineStr">
        <is>
          <t>тип, втулки, ход, предельное давление</t>
        </is>
      </c>
      <c r="C31" s="11" t="inlineStr">
        <is>
          <t>обязательно</t>
        </is>
      </c>
    </row>
    <row r="32">
      <c r="A32" s="9" t="inlineStr">
        <is>
          <t>13 Наземная обвязка</t>
        </is>
      </c>
      <c r="B32" s="10" t="inlineStr">
        <is>
          <t>стояк, рукав, вертлюг, ведущая труба</t>
        </is>
      </c>
      <c r="C32" s="11" t="inlineStr">
        <is>
          <t>обязательно</t>
        </is>
      </c>
    </row>
    <row r="33">
      <c r="A33" s="9" t="inlineStr">
        <is>
          <t>14 Шлам</t>
        </is>
      </c>
      <c r="B33" s="10" t="inlineStr">
        <is>
          <t>размер частиц, критерии очистки ствола</t>
        </is>
      </c>
      <c r="C33" s="13" t="inlineStr">
        <is>
          <t>желательно</t>
        </is>
      </c>
    </row>
    <row r="34">
      <c r="A34" s="9" t="inlineStr">
        <is>
          <t>15 Температура</t>
        </is>
      </c>
      <c r="B34" s="10" t="inlineStr">
        <is>
          <t>температурный режим по стволу</t>
        </is>
      </c>
      <c r="C34" s="13" t="inlineStr">
        <is>
          <t>желательно</t>
        </is>
      </c>
    </row>
  </sheetData>
  <mergeCells count="9">
    <mergeCell ref="B12:F12"/>
    <mergeCell ref="B7:F7"/>
    <mergeCell ref="B6:F6"/>
    <mergeCell ref="B16:F16"/>
    <mergeCell ref="B15:F15"/>
    <mergeCell ref="B10:F10"/>
    <mergeCell ref="B11:F11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6" customWidth="1" min="3" max="3"/>
  </cols>
  <sheetData>
    <row r="1">
      <c r="A1" s="4" t="inlineStr">
        <is>
          <t>ОБЩИЕ СВЕДЕНИЯ</t>
        </is>
      </c>
    </row>
    <row r="2" ht="30" customHeight="1">
      <c r="A2" s="3" t="inlineStr">
        <is>
          <t>Выводятся на титульном листе отчёта, в колонтитулах каждой страницы и в свойствах PDF-файла.</t>
        </is>
      </c>
    </row>
    <row r="3" ht="4" customHeight="1">
      <c r="A3" s="14" t="n"/>
      <c r="B3" s="14" t="n"/>
      <c r="C3" s="14" t="n"/>
    </row>
    <row r="4" ht="36" customHeight="1">
      <c r="A4" s="15" t="inlineStr">
        <is>
          <t>Показатель</t>
        </is>
      </c>
      <c r="B4" s="15" t="inlineStr">
        <is>
          <t>Значение</t>
        </is>
      </c>
      <c r="C4" s="15" t="inlineStr">
        <is>
          <t>Пояснение</t>
        </is>
      </c>
    </row>
    <row r="5">
      <c r="A5" s="16" t="inlineStr">
        <is>
          <t>Заказчик</t>
        </is>
      </c>
      <c r="B5" s="17" t="inlineStr">
        <is>
          <t>ООО «Пример-Нефть»</t>
        </is>
      </c>
      <c r="C5" s="18" t="inlineStr">
        <is>
          <t>недропользователь или оператор</t>
        </is>
      </c>
    </row>
    <row r="6">
      <c r="A6" s="16" t="inlineStr">
        <is>
          <t>Месторождение</t>
        </is>
      </c>
      <c r="B6" s="17" t="inlineStr">
        <is>
          <t>Пример-ское</t>
        </is>
      </c>
      <c r="C6" s="18" t="inlineStr"/>
    </row>
    <row r="7">
      <c r="A7" s="16" t="inlineStr">
        <is>
          <t>Площадь</t>
        </is>
      </c>
      <c r="B7" s="17" t="inlineStr">
        <is>
          <t>Северный участок</t>
        </is>
      </c>
      <c r="C7" s="18" t="inlineStr">
        <is>
          <t>лицензионный участок</t>
        </is>
      </c>
    </row>
    <row r="8">
      <c r="A8" s="16" t="inlineStr">
        <is>
          <t>Куст</t>
        </is>
      </c>
      <c r="B8" s="17" t="inlineStr">
        <is>
          <t>12</t>
        </is>
      </c>
      <c r="C8" s="18" t="inlineStr">
        <is>
          <t>номер куста</t>
        </is>
      </c>
    </row>
    <row r="9">
      <c r="A9" s="16" t="inlineStr">
        <is>
          <t>Скважина</t>
        </is>
      </c>
      <c r="B9" s="17" t="inlineStr">
        <is>
          <t>№1234Г</t>
        </is>
      </c>
      <c r="C9" s="18" t="inlineStr">
        <is>
          <t>номер и индекс, например 1234Г</t>
        </is>
      </c>
    </row>
    <row r="10">
      <c r="A10" s="16" t="inlineStr">
        <is>
          <t>Тип скважины</t>
        </is>
      </c>
      <c r="B10" s="17" t="inlineStr">
        <is>
          <t>горизонтальная</t>
        </is>
      </c>
      <c r="C10" s="18" t="inlineStr">
        <is>
          <t>наклонно-направленная / горизонтальная</t>
        </is>
      </c>
    </row>
    <row r="11">
      <c r="A11" s="16" t="inlineStr">
        <is>
          <t>Проектный горизонт</t>
        </is>
      </c>
      <c r="B11" s="17" t="inlineStr">
        <is>
          <t>осинский горизонт</t>
        </is>
      </c>
      <c r="C11" s="18" t="inlineStr"/>
    </row>
    <row r="12">
      <c r="A12" s="16" t="inlineStr">
        <is>
          <t>Проектная глубина, м MD</t>
        </is>
      </c>
      <c r="B12" s="17" t="n">
        <v>1902</v>
      </c>
      <c r="C12" s="18" t="inlineStr"/>
    </row>
    <row r="13">
      <c r="A13" s="16" t="inlineStr">
        <is>
          <t>Буровой подрядчик</t>
        </is>
      </c>
      <c r="B13" s="17" t="inlineStr">
        <is>
          <t>ООО «Буровая компания»</t>
        </is>
      </c>
      <c r="C13" s="18" t="inlineStr"/>
    </row>
    <row r="14">
      <c r="A14" s="16" t="inlineStr">
        <is>
          <t>Буровая установка</t>
        </is>
      </c>
      <c r="B14" s="17" t="inlineStr">
        <is>
          <t>БУ 3000 ЭУК-1М</t>
        </is>
      </c>
      <c r="C14" s="18" t="inlineStr"/>
    </row>
    <row r="15">
      <c r="A15" s="16" t="inlineStr">
        <is>
          <t>Ответственный исполнитель</t>
        </is>
      </c>
      <c r="B15" s="17" t="inlineStr">
        <is>
          <t>А. Р.</t>
        </is>
      </c>
      <c r="C15" s="18" t="inlineStr">
        <is>
          <t>кто выполнил расчёт</t>
        </is>
      </c>
    </row>
    <row r="16">
      <c r="A16" s="16" t="inlineStr">
        <is>
          <t>Дата расчёта</t>
        </is>
      </c>
      <c r="B16" s="17" t="inlineStr">
        <is>
          <t>07.09.2026</t>
        </is>
      </c>
      <c r="C16" s="18" t="inlineStr">
        <is>
          <t>например 07.09.2026</t>
        </is>
      </c>
    </row>
    <row r="17">
      <c r="A17" s="16" t="inlineStr">
        <is>
          <t>Номер документа</t>
        </is>
      </c>
      <c r="B17" s="17" t="inlineStr">
        <is>
          <t>ГР-1234-2026</t>
        </is>
      </c>
      <c r="C17" s="18" t="inlineStr"/>
    </row>
    <row r="18">
      <c r="A18" s="16" t="inlineStr">
        <is>
          <t>Примечание</t>
        </is>
      </c>
      <c r="B18" s="17" t="inlineStr">
        <is>
          <t>н/д</t>
        </is>
      </c>
      <c r="C18" s="18" t="inlineStr"/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7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4" t="inlineStr">
        <is>
          <t>КОНСТРУКЦИЯ СКВАЖИНЫ</t>
        </is>
      </c>
    </row>
    <row r="2" ht="30" customHeight="1">
      <c r="A2" s="3" t="inlineStr">
        <is>
          <t>Обсадные колонны сверху вниз. Внутренний диаметр программа считает сама из наружного и толщины стенки. Если низ ствола остаётся необсаженным, добавьте строку «Открытый ствол»: укажите диаметр и глубину, толщину стенки оставьте пустой.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</row>
    <row r="4" ht="36" customHeight="1">
      <c r="A4" s="15" t="inlineStr">
        <is>
          <t>Колонна</t>
        </is>
      </c>
      <c r="B4" s="15" t="inlineStr">
        <is>
          <t>Ø наружный, мм</t>
        </is>
      </c>
      <c r="C4" s="15" t="inlineStr">
        <is>
          <t>Толщина стенки, мм</t>
        </is>
      </c>
      <c r="D4" s="15" t="inlineStr">
        <is>
          <t>Глубина спуска, м MD</t>
        </is>
      </c>
      <c r="E4" s="15" t="inlineStr">
        <is>
          <t>Глубина спуска, м TVD</t>
        </is>
      </c>
      <c r="F4" s="15" t="inlineStr">
        <is>
          <t>Глубина подвески, м MD</t>
        </is>
      </c>
      <c r="G4" s="15" t="inlineStr">
        <is>
          <t>Примечание</t>
        </is>
      </c>
    </row>
    <row r="5">
      <c r="A5" s="16" t="inlineStr">
        <is>
          <t>Направление</t>
        </is>
      </c>
      <c r="B5" s="19" t="n">
        <v>324</v>
      </c>
      <c r="C5" s="19" t="n">
        <v>9.5</v>
      </c>
      <c r="D5" s="19" t="n">
        <v>40</v>
      </c>
      <c r="E5" s="19" t="n">
        <v>40</v>
      </c>
      <c r="F5" s="19" t="n"/>
      <c r="G5" s="19" t="inlineStr"/>
    </row>
    <row r="6">
      <c r="A6" s="16" t="inlineStr">
        <is>
          <t>Кондуктор</t>
        </is>
      </c>
      <c r="B6" s="19" t="n">
        <v>245</v>
      </c>
      <c r="C6" s="19" t="n">
        <v>8.9</v>
      </c>
      <c r="D6" s="19" t="n">
        <v>410</v>
      </c>
      <c r="E6" s="19" t="n">
        <v>410</v>
      </c>
      <c r="F6" s="19" t="n"/>
      <c r="G6" s="19" t="inlineStr"/>
    </row>
    <row r="7">
      <c r="A7" s="16" t="inlineStr">
        <is>
          <t>Эксплуатационная колонна</t>
        </is>
      </c>
      <c r="B7" s="19" t="n">
        <v>178</v>
      </c>
      <c r="C7" s="19" t="n">
        <v>8.5</v>
      </c>
      <c r="D7" s="19" t="n">
        <v>1670</v>
      </c>
      <c r="E7" s="19" t="n">
        <v>1480</v>
      </c>
      <c r="F7" s="19" t="n"/>
      <c r="G7" s="19" t="inlineStr"/>
    </row>
    <row r="8">
      <c r="A8" s="16" t="inlineStr">
        <is>
          <t>Хвостовик</t>
        </is>
      </c>
      <c r="B8" s="19" t="n">
        <v>114</v>
      </c>
      <c r="C8" s="19" t="n">
        <v>7.4</v>
      </c>
      <c r="D8" s="19" t="n">
        <v>1902</v>
      </c>
      <c r="E8" s="19" t="n">
        <v>1523</v>
      </c>
      <c r="F8" s="19" t="n">
        <v>1570</v>
      </c>
      <c r="G8" s="19" t="inlineStr">
        <is>
          <t>перекрытие 100 м</t>
        </is>
      </c>
    </row>
    <row r="9">
      <c r="A9" s="16" t="inlineStr">
        <is>
          <t>Хвостовик</t>
        </is>
      </c>
      <c r="B9" s="19" t="n"/>
      <c r="C9" s="19" t="n"/>
      <c r="D9" s="19" t="n"/>
      <c r="E9" s="19" t="n"/>
      <c r="F9" s="19" t="n"/>
      <c r="G9" s="19" t="n"/>
    </row>
    <row r="10">
      <c r="A10" s="16" t="inlineStr">
        <is>
          <t>Открытый ствол</t>
        </is>
      </c>
      <c r="B10" s="19" t="n"/>
      <c r="C10" s="19" t="n"/>
      <c r="D10" s="19" t="n"/>
      <c r="E10" s="19" t="n"/>
      <c r="F10" s="19" t="n"/>
      <c r="G10" s="19" t="n"/>
    </row>
    <row r="11">
      <c r="A11" s="16" t="inlineStr"/>
      <c r="B11" s="19" t="n"/>
      <c r="C11" s="19" t="n"/>
      <c r="D11" s="19" t="n"/>
      <c r="E11" s="19" t="n"/>
      <c r="F11" s="19" t="n"/>
      <c r="G11" s="19" t="n"/>
    </row>
    <row r="12">
      <c r="A12" s="16" t="inlineStr"/>
      <c r="B12" s="19" t="n"/>
      <c r="C12" s="19" t="n"/>
      <c r="D12" s="19" t="n"/>
      <c r="E12" s="19" t="n"/>
      <c r="F12" s="19" t="n"/>
      <c r="G12" s="19" t="n"/>
    </row>
    <row r="14">
      <c r="A14" s="20" t="inlineStr">
        <is>
          <t>ПРИМЕР →</t>
        </is>
      </c>
      <c r="B14" s="21" t="n">
        <v>245</v>
      </c>
      <c r="C14" s="21" t="n">
        <v>8.9</v>
      </c>
      <c r="D14" s="21" t="n">
        <v>410</v>
      </c>
      <c r="E14" s="21" t="n">
        <v>410</v>
      </c>
      <c r="F14" s="21" t="n"/>
      <c r="G14" s="21" t="inlineStr">
        <is>
          <t>спуск до кровли солей</t>
        </is>
      </c>
    </row>
  </sheetData>
  <mergeCells count="1">
    <mergeCell ref="A2:G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2" customWidth="1" min="4" max="4"/>
    <col width="34" customWidth="1" min="5" max="5"/>
  </cols>
  <sheetData>
    <row r="1">
      <c r="A1" s="4" t="inlineStr">
        <is>
          <t>ИНКЛИНОМЕТРИЯ</t>
        </is>
      </c>
    </row>
    <row r="2" ht="30" customHeight="1">
      <c r="A2" s="3" t="inlineStr">
        <is>
          <t>Единственный источник данных о траектории. Шаг 10-30 м. TVD можно не заполнять - программа посчитает по зенитным углам. Строки добавляйте вниз без ограничений.</t>
        </is>
      </c>
    </row>
    <row r="3" ht="4" customHeight="1">
      <c r="A3" s="14" t="n"/>
      <c r="B3" s="14" t="n"/>
      <c r="C3" s="14" t="n"/>
      <c r="D3" s="14" t="n"/>
      <c r="E3" s="14" t="n"/>
    </row>
    <row r="4" ht="36" customHeight="1">
      <c r="A4" s="15" t="inlineStr">
        <is>
          <t>MD, м</t>
        </is>
      </c>
      <c r="B4" s="15" t="inlineStr">
        <is>
          <t>Зенитный угол, град</t>
        </is>
      </c>
      <c r="C4" s="15" t="inlineStr">
        <is>
          <t>Азимут, град</t>
        </is>
      </c>
      <c r="D4" s="15" t="inlineStr">
        <is>
          <t>TVD, м (если известна)</t>
        </is>
      </c>
      <c r="E4" s="15" t="inlineStr">
        <is>
          <t>Примечание</t>
        </is>
      </c>
    </row>
    <row r="5">
      <c r="A5" s="19" t="n">
        <v>0</v>
      </c>
      <c r="B5" s="19" t="n">
        <v>0</v>
      </c>
      <c r="C5" s="19" t="n">
        <v>218.5</v>
      </c>
      <c r="D5" s="19" t="n"/>
      <c r="E5" s="19" t="n"/>
    </row>
    <row r="6">
      <c r="A6" s="19" t="n">
        <v>30</v>
      </c>
      <c r="B6" s="19" t="n">
        <v>0</v>
      </c>
      <c r="C6" s="19" t="n">
        <v>218.5</v>
      </c>
      <c r="D6" s="19" t="n"/>
      <c r="E6" s="19" t="n"/>
    </row>
    <row r="7">
      <c r="A7" s="19" t="n">
        <v>60</v>
      </c>
      <c r="B7" s="19" t="n">
        <v>0</v>
      </c>
      <c r="C7" s="19" t="n">
        <v>218.5</v>
      </c>
      <c r="D7" s="19" t="n"/>
      <c r="E7" s="19" t="n"/>
    </row>
    <row r="8">
      <c r="A8" s="19" t="n">
        <v>90</v>
      </c>
      <c r="B8" s="19" t="n">
        <v>0</v>
      </c>
      <c r="C8" s="19" t="n">
        <v>218.5</v>
      </c>
      <c r="D8" s="19" t="n"/>
      <c r="E8" s="19" t="n"/>
    </row>
    <row r="9">
      <c r="A9" s="19" t="n">
        <v>120</v>
      </c>
      <c r="B9" s="19" t="n">
        <v>0</v>
      </c>
      <c r="C9" s="19" t="n">
        <v>218.5</v>
      </c>
      <c r="D9" s="19" t="n"/>
      <c r="E9" s="19" t="n"/>
    </row>
    <row r="10">
      <c r="A10" s="19" t="n">
        <v>150</v>
      </c>
      <c r="B10" s="19" t="n">
        <v>0</v>
      </c>
      <c r="C10" s="19" t="n">
        <v>218.5</v>
      </c>
      <c r="D10" s="19" t="n"/>
      <c r="E10" s="19" t="n"/>
    </row>
    <row r="11">
      <c r="A11" s="19" t="n">
        <v>180</v>
      </c>
      <c r="B11" s="19" t="n">
        <v>0</v>
      </c>
      <c r="C11" s="19" t="n">
        <v>218.5</v>
      </c>
      <c r="D11" s="19" t="n"/>
      <c r="E11" s="19" t="n"/>
    </row>
    <row r="12">
      <c r="A12" s="19" t="n">
        <v>210</v>
      </c>
      <c r="B12" s="19" t="n">
        <v>0</v>
      </c>
      <c r="C12" s="19" t="n">
        <v>218.5</v>
      </c>
      <c r="D12" s="19" t="n"/>
      <c r="E12" s="19" t="n"/>
    </row>
    <row r="13">
      <c r="A13" s="19" t="n">
        <v>240</v>
      </c>
      <c r="B13" s="19" t="n">
        <v>0</v>
      </c>
      <c r="C13" s="19" t="n">
        <v>218.5</v>
      </c>
      <c r="D13" s="19" t="n"/>
      <c r="E13" s="19" t="n"/>
    </row>
    <row r="14">
      <c r="A14" s="19" t="n">
        <v>270</v>
      </c>
      <c r="B14" s="19" t="n">
        <v>0</v>
      </c>
      <c r="C14" s="19" t="n">
        <v>218.5</v>
      </c>
      <c r="D14" s="19" t="n"/>
      <c r="E14" s="19" t="n"/>
    </row>
    <row r="15">
      <c r="A15" s="19" t="n">
        <v>300</v>
      </c>
      <c r="B15" s="19" t="n">
        <v>0</v>
      </c>
      <c r="C15" s="19" t="n">
        <v>218.5</v>
      </c>
      <c r="D15" s="19" t="n"/>
      <c r="E15" s="19" t="n"/>
    </row>
    <row r="16">
      <c r="A16" s="19" t="n">
        <v>330</v>
      </c>
      <c r="B16" s="19" t="n">
        <v>0</v>
      </c>
      <c r="C16" s="19" t="n">
        <v>218.5</v>
      </c>
      <c r="D16" s="19" t="n"/>
      <c r="E16" s="19" t="n"/>
    </row>
    <row r="17">
      <c r="A17" s="19" t="n">
        <v>360</v>
      </c>
      <c r="B17" s="19" t="n">
        <v>0</v>
      </c>
      <c r="C17" s="19" t="n">
        <v>218.5</v>
      </c>
      <c r="D17" s="19" t="n"/>
      <c r="E17" s="19" t="n"/>
    </row>
    <row r="18">
      <c r="A18" s="19" t="n">
        <v>390</v>
      </c>
      <c r="B18" s="19" t="n">
        <v>0</v>
      </c>
      <c r="C18" s="19" t="n">
        <v>218.5</v>
      </c>
      <c r="D18" s="19" t="n"/>
      <c r="E18" s="19" t="n"/>
    </row>
    <row r="19">
      <c r="A19" s="19" t="n">
        <v>420</v>
      </c>
      <c r="B19" s="19" t="n">
        <v>0</v>
      </c>
      <c r="C19" s="19" t="n">
        <v>218.5</v>
      </c>
      <c r="D19" s="19" t="n"/>
      <c r="E19" s="19" t="n"/>
    </row>
    <row r="20">
      <c r="A20" s="19" t="n">
        <v>450</v>
      </c>
      <c r="B20" s="19" t="n">
        <v>0</v>
      </c>
      <c r="C20" s="19" t="n">
        <v>218.5</v>
      </c>
      <c r="D20" s="19" t="n"/>
      <c r="E20" s="19" t="n"/>
    </row>
    <row r="21">
      <c r="A21" s="19" t="n">
        <v>480</v>
      </c>
      <c r="B21" s="19" t="n">
        <v>0</v>
      </c>
      <c r="C21" s="19" t="n">
        <v>218.5</v>
      </c>
      <c r="D21" s="19" t="n"/>
      <c r="E21" s="19" t="n"/>
    </row>
    <row r="22">
      <c r="A22" s="19" t="n">
        <v>510</v>
      </c>
      <c r="B22" s="19" t="n">
        <v>0</v>
      </c>
      <c r="C22" s="19" t="n">
        <v>218.5</v>
      </c>
      <c r="D22" s="19" t="n"/>
      <c r="E22" s="19" t="n"/>
    </row>
    <row r="23">
      <c r="A23" s="19" t="n">
        <v>540</v>
      </c>
      <c r="B23" s="19" t="n">
        <v>0</v>
      </c>
      <c r="C23" s="19" t="n">
        <v>218.5</v>
      </c>
      <c r="D23" s="19" t="n"/>
      <c r="E23" s="19" t="n"/>
    </row>
    <row r="24">
      <c r="A24" s="19" t="n">
        <v>570</v>
      </c>
      <c r="B24" s="19" t="n">
        <v>0</v>
      </c>
      <c r="C24" s="19" t="n">
        <v>218.5</v>
      </c>
      <c r="D24" s="19" t="n"/>
      <c r="E24" s="19" t="n"/>
    </row>
    <row r="25">
      <c r="A25" s="19" t="n">
        <v>600</v>
      </c>
      <c r="B25" s="19" t="n">
        <v>0</v>
      </c>
      <c r="C25" s="19" t="n">
        <v>218.5</v>
      </c>
      <c r="D25" s="19" t="n"/>
      <c r="E25" s="19" t="n"/>
    </row>
    <row r="26">
      <c r="A26" s="19" t="n">
        <v>630</v>
      </c>
      <c r="B26" s="19" t="n">
        <v>0</v>
      </c>
      <c r="C26" s="19" t="n">
        <v>218.5</v>
      </c>
      <c r="D26" s="19" t="n"/>
      <c r="E26" s="19" t="n"/>
    </row>
    <row r="27">
      <c r="A27" s="19" t="n">
        <v>660</v>
      </c>
      <c r="B27" s="19" t="n">
        <v>0</v>
      </c>
      <c r="C27" s="19" t="n">
        <v>218.5</v>
      </c>
      <c r="D27" s="19" t="n"/>
      <c r="E27" s="19" t="n"/>
    </row>
    <row r="28">
      <c r="A28" s="19" t="n">
        <v>690</v>
      </c>
      <c r="B28" s="19" t="n">
        <v>0</v>
      </c>
      <c r="C28" s="19" t="n">
        <v>218.5</v>
      </c>
      <c r="D28" s="19" t="n"/>
      <c r="E28" s="19" t="n"/>
    </row>
    <row r="29">
      <c r="A29" s="19" t="n">
        <v>720</v>
      </c>
      <c r="B29" s="19" t="n">
        <v>0</v>
      </c>
      <c r="C29" s="19" t="n">
        <v>218.5</v>
      </c>
      <c r="D29" s="19" t="n"/>
      <c r="E29" s="19" t="n"/>
    </row>
    <row r="30">
      <c r="A30" s="19" t="n">
        <v>750</v>
      </c>
      <c r="B30" s="19" t="n">
        <v>0</v>
      </c>
      <c r="C30" s="19" t="n">
        <v>218.5</v>
      </c>
      <c r="D30" s="19" t="n"/>
      <c r="E30" s="19" t="n"/>
    </row>
    <row r="31">
      <c r="A31" s="19" t="n">
        <v>780</v>
      </c>
      <c r="B31" s="19" t="n">
        <v>0</v>
      </c>
      <c r="C31" s="19" t="n">
        <v>218.5</v>
      </c>
      <c r="D31" s="19" t="n"/>
      <c r="E31" s="19" t="n"/>
    </row>
    <row r="32">
      <c r="A32" s="19" t="n">
        <v>810</v>
      </c>
      <c r="B32" s="19" t="n">
        <v>0</v>
      </c>
      <c r="C32" s="19" t="n">
        <v>218.5</v>
      </c>
      <c r="D32" s="19" t="n"/>
      <c r="E32" s="19" t="n"/>
    </row>
    <row r="33">
      <c r="A33" s="19" t="n">
        <v>840</v>
      </c>
      <c r="B33" s="19" t="n">
        <v>0</v>
      </c>
      <c r="C33" s="19" t="n">
        <v>218.5</v>
      </c>
      <c r="D33" s="19" t="n"/>
      <c r="E33" s="19" t="n"/>
    </row>
    <row r="34">
      <c r="A34" s="19" t="n">
        <v>870</v>
      </c>
      <c r="B34" s="19" t="n">
        <v>0</v>
      </c>
      <c r="C34" s="19" t="n">
        <v>218.5</v>
      </c>
      <c r="D34" s="19" t="n"/>
      <c r="E34" s="19" t="n"/>
    </row>
    <row r="35">
      <c r="A35" s="19" t="n">
        <v>900</v>
      </c>
      <c r="B35" s="19" t="n">
        <v>0</v>
      </c>
      <c r="C35" s="19" t="n">
        <v>218.5</v>
      </c>
      <c r="D35" s="19" t="n"/>
      <c r="E35" s="19" t="n"/>
    </row>
    <row r="36">
      <c r="A36" s="19" t="n">
        <v>930</v>
      </c>
      <c r="B36" s="19" t="n">
        <v>0</v>
      </c>
      <c r="C36" s="19" t="n">
        <v>218.5</v>
      </c>
      <c r="D36" s="19" t="n"/>
      <c r="E36" s="19" t="n"/>
    </row>
    <row r="37">
      <c r="A37" s="19" t="n">
        <v>976</v>
      </c>
      <c r="B37" s="19" t="n">
        <v>3.11</v>
      </c>
      <c r="C37" s="19" t="n">
        <v>218.5</v>
      </c>
      <c r="D37" s="19" t="n"/>
      <c r="E37" s="19" t="n"/>
    </row>
    <row r="38">
      <c r="A38" s="19" t="n">
        <v>1006</v>
      </c>
      <c r="B38" s="19" t="n">
        <v>6.22</v>
      </c>
      <c r="C38" s="19" t="n">
        <v>218.5</v>
      </c>
      <c r="D38" s="19" t="n"/>
      <c r="E38" s="19" t="n"/>
    </row>
    <row r="39">
      <c r="A39" s="19" t="n">
        <v>1036</v>
      </c>
      <c r="B39" s="19" t="n">
        <v>9.33</v>
      </c>
      <c r="C39" s="19" t="n">
        <v>218.5</v>
      </c>
      <c r="D39" s="19" t="n"/>
      <c r="E39" s="19" t="n"/>
    </row>
    <row r="40">
      <c r="A40" s="19" t="n">
        <v>1066</v>
      </c>
      <c r="B40" s="19" t="n">
        <v>12.44</v>
      </c>
      <c r="C40" s="19" t="n">
        <v>218.5</v>
      </c>
      <c r="D40" s="19" t="n"/>
      <c r="E40" s="19" t="n"/>
    </row>
    <row r="41">
      <c r="A41" s="19" t="n">
        <v>1096</v>
      </c>
      <c r="B41" s="19" t="n">
        <v>15.55</v>
      </c>
      <c r="C41" s="19" t="n">
        <v>218.5</v>
      </c>
      <c r="D41" s="19" t="n"/>
      <c r="E41" s="19" t="n"/>
    </row>
    <row r="42">
      <c r="A42" s="19" t="n">
        <v>1126</v>
      </c>
      <c r="B42" s="19" t="n">
        <v>18.66</v>
      </c>
      <c r="C42" s="19" t="n">
        <v>218.5</v>
      </c>
      <c r="D42" s="19" t="n"/>
      <c r="E42" s="19" t="n"/>
    </row>
    <row r="43">
      <c r="A43" s="19" t="n">
        <v>1156</v>
      </c>
      <c r="B43" s="19" t="n">
        <v>21.77</v>
      </c>
      <c r="C43" s="19" t="n">
        <v>218.5</v>
      </c>
      <c r="D43" s="19" t="n"/>
      <c r="E43" s="19" t="n"/>
    </row>
    <row r="44">
      <c r="A44" s="19" t="n">
        <v>1186</v>
      </c>
      <c r="B44" s="19" t="n">
        <v>24.88</v>
      </c>
      <c r="C44" s="19" t="n">
        <v>218.5</v>
      </c>
      <c r="D44" s="19" t="n"/>
      <c r="E44" s="19" t="n"/>
    </row>
    <row r="45">
      <c r="A45" s="19" t="n">
        <v>1216</v>
      </c>
      <c r="B45" s="19" t="n">
        <v>27.99</v>
      </c>
      <c r="C45" s="19" t="n">
        <v>218.5</v>
      </c>
      <c r="D45" s="19" t="n"/>
      <c r="E45" s="19" t="n"/>
    </row>
    <row r="46">
      <c r="A46" s="19" t="n">
        <v>1246</v>
      </c>
      <c r="B46" s="19" t="n">
        <v>31.1</v>
      </c>
      <c r="C46" s="19" t="n">
        <v>218.5</v>
      </c>
      <c r="D46" s="19" t="n"/>
      <c r="E46" s="19" t="n"/>
    </row>
    <row r="47">
      <c r="A47" s="19" t="n">
        <v>1276</v>
      </c>
      <c r="B47" s="19" t="n">
        <v>34.21</v>
      </c>
      <c r="C47" s="19" t="n">
        <v>218.5</v>
      </c>
      <c r="D47" s="19" t="n"/>
      <c r="E47" s="19" t="n"/>
    </row>
    <row r="48">
      <c r="A48" s="19" t="n">
        <v>1306</v>
      </c>
      <c r="B48" s="19" t="n">
        <v>37.32</v>
      </c>
      <c r="C48" s="19" t="n">
        <v>218.5</v>
      </c>
      <c r="D48" s="19" t="n"/>
      <c r="E48" s="19" t="n"/>
    </row>
    <row r="49">
      <c r="A49" s="19" t="n">
        <v>1336</v>
      </c>
      <c r="B49" s="19" t="n">
        <v>40.43</v>
      </c>
      <c r="C49" s="19" t="n">
        <v>218.5</v>
      </c>
      <c r="D49" s="19" t="n"/>
      <c r="E49" s="19" t="n"/>
    </row>
    <row r="50">
      <c r="A50" s="19" t="n">
        <v>1366</v>
      </c>
      <c r="B50" s="19" t="n">
        <v>43.54</v>
      </c>
      <c r="C50" s="19" t="n">
        <v>218.5</v>
      </c>
      <c r="D50" s="19" t="n"/>
      <c r="E50" s="19" t="n"/>
    </row>
    <row r="51">
      <c r="A51" s="19" t="n">
        <v>1396</v>
      </c>
      <c r="B51" s="19" t="n">
        <v>46.65</v>
      </c>
      <c r="C51" s="19" t="n">
        <v>218.5</v>
      </c>
      <c r="D51" s="19" t="n"/>
      <c r="E51" s="19" t="n"/>
    </row>
    <row r="52">
      <c r="A52" s="19" t="n">
        <v>1426</v>
      </c>
      <c r="B52" s="19" t="n">
        <v>49.76</v>
      </c>
      <c r="C52" s="19" t="n">
        <v>218.5</v>
      </c>
      <c r="D52" s="19" t="n"/>
      <c r="E52" s="19" t="n"/>
    </row>
    <row r="53">
      <c r="A53" s="19" t="n">
        <v>1456</v>
      </c>
      <c r="B53" s="19" t="n">
        <v>52.87</v>
      </c>
      <c r="C53" s="19" t="n">
        <v>218.5</v>
      </c>
      <c r="D53" s="19" t="n"/>
      <c r="E53" s="19" t="n"/>
    </row>
    <row r="54">
      <c r="A54" s="19" t="n">
        <v>1486</v>
      </c>
      <c r="B54" s="19" t="n">
        <v>55.98</v>
      </c>
      <c r="C54" s="19" t="n">
        <v>218.5</v>
      </c>
      <c r="D54" s="19" t="n"/>
      <c r="E54" s="19" t="n"/>
    </row>
    <row r="55">
      <c r="A55" s="19" t="n">
        <v>1516</v>
      </c>
      <c r="B55" s="19" t="n">
        <v>59.09</v>
      </c>
      <c r="C55" s="19" t="n">
        <v>218.5</v>
      </c>
      <c r="D55" s="19" t="n"/>
      <c r="E55" s="19" t="n"/>
    </row>
    <row r="56">
      <c r="A56" s="19" t="n">
        <v>1546</v>
      </c>
      <c r="B56" s="19" t="n">
        <v>62.2</v>
      </c>
      <c r="C56" s="19" t="n">
        <v>218.5</v>
      </c>
      <c r="D56" s="19" t="n"/>
      <c r="E56" s="19" t="n"/>
    </row>
    <row r="57">
      <c r="A57" s="19" t="n">
        <v>1576</v>
      </c>
      <c r="B57" s="19" t="n">
        <v>65.31</v>
      </c>
      <c r="C57" s="19" t="n">
        <v>218.5</v>
      </c>
      <c r="D57" s="19" t="n"/>
      <c r="E57" s="19" t="n"/>
    </row>
    <row r="58">
      <c r="A58" s="19" t="n">
        <v>1606</v>
      </c>
      <c r="B58" s="19" t="n">
        <v>68.42</v>
      </c>
      <c r="C58" s="19" t="n">
        <v>218.5</v>
      </c>
      <c r="D58" s="19" t="n"/>
      <c r="E58" s="19" t="n"/>
    </row>
    <row r="59">
      <c r="A59" s="19" t="n">
        <v>1636</v>
      </c>
      <c r="B59" s="19" t="n">
        <v>71.53</v>
      </c>
      <c r="C59" s="19" t="n">
        <v>218.5</v>
      </c>
      <c r="D59" s="19" t="n"/>
      <c r="E59" s="19" t="n"/>
    </row>
    <row r="60">
      <c r="A60" s="19" t="n">
        <v>1666</v>
      </c>
      <c r="B60" s="19" t="n">
        <v>74.64</v>
      </c>
      <c r="C60" s="19" t="n">
        <v>218.5</v>
      </c>
      <c r="D60" s="19" t="n"/>
      <c r="E60" s="19" t="n"/>
    </row>
    <row r="61">
      <c r="A61" s="19" t="n">
        <v>1669.67</v>
      </c>
      <c r="B61" s="19" t="n">
        <v>74.91</v>
      </c>
      <c r="C61" s="19" t="n">
        <v>218.5</v>
      </c>
      <c r="D61" s="19" t="n"/>
      <c r="E61" s="19" t="n"/>
    </row>
    <row r="62">
      <c r="A62" s="19" t="n">
        <v>1699.67</v>
      </c>
      <c r="B62" s="19" t="n">
        <v>76.05</v>
      </c>
      <c r="C62" s="19" t="n">
        <v>218.5</v>
      </c>
      <c r="D62" s="19" t="n"/>
      <c r="E62" s="19" t="n"/>
    </row>
    <row r="63">
      <c r="A63" s="19" t="n">
        <v>1729.67</v>
      </c>
      <c r="B63" s="19" t="n">
        <v>77.19</v>
      </c>
      <c r="C63" s="19" t="n">
        <v>218.5</v>
      </c>
      <c r="D63" s="19" t="n"/>
      <c r="E63" s="19" t="n"/>
    </row>
    <row r="64">
      <c r="A64" s="19" t="n">
        <v>1759.67</v>
      </c>
      <c r="B64" s="19" t="n">
        <v>78.33</v>
      </c>
      <c r="C64" s="19" t="n">
        <v>218.5</v>
      </c>
      <c r="D64" s="19" t="n"/>
      <c r="E64" s="19" t="n"/>
    </row>
    <row r="65">
      <c r="A65" t="n">
        <v>1789.67</v>
      </c>
      <c r="B65" t="n">
        <v>79.47</v>
      </c>
      <c r="C65" t="n">
        <v>218.5</v>
      </c>
    </row>
    <row r="66">
      <c r="A66" t="n">
        <v>1819.67</v>
      </c>
      <c r="B66" t="n">
        <v>80.61</v>
      </c>
      <c r="C66" t="n">
        <v>218.5</v>
      </c>
    </row>
    <row r="67">
      <c r="A67" s="20" t="n">
        <v>1849.67</v>
      </c>
      <c r="B67" s="22" t="n">
        <v>81.75</v>
      </c>
      <c r="C67" s="22" t="n">
        <v>218.5</v>
      </c>
      <c r="D67" s="22" t="n">
        <v>218.5</v>
      </c>
      <c r="E67" s="22" t="n">
        <v>949.6</v>
      </c>
      <c r="F67" s="22" t="inlineStr">
        <is>
          <t>начало набора угла</t>
        </is>
      </c>
    </row>
    <row r="68">
      <c r="A68" t="n">
        <v>1879.67</v>
      </c>
      <c r="B68" t="n">
        <v>82.89</v>
      </c>
      <c r="C68" t="n">
        <v>218.5</v>
      </c>
    </row>
    <row r="69">
      <c r="A69" t="n">
        <v>1901.67</v>
      </c>
      <c r="B69" t="n">
        <v>83.70999999999999</v>
      </c>
      <c r="C69" t="n">
        <v>218.5</v>
      </c>
    </row>
  </sheetData>
  <mergeCells count="1">
    <mergeCell ref="A2:E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6" customWidth="1" min="4" max="4"/>
    <col width="18" customWidth="1" min="5" max="5"/>
    <col width="18" customWidth="1" min="6" max="6"/>
    <col width="16" customWidth="1" min="7" max="7"/>
    <col width="18" customWidth="1" min="8" max="8"/>
    <col width="26" customWidth="1" min="9" max="9"/>
  </cols>
  <sheetData>
    <row r="1">
      <c r="A1" s="4" t="inlineStr">
        <is>
          <t>ЛИТОЛОГИЧЕСКИЙ РАЗРЕЗ И ПЛАСТОВЫЕ ДАВЛЕНИЯ</t>
        </is>
      </c>
    </row>
    <row r="2" ht="30" customHeight="1">
      <c r="A2" s="3" t="inlineStr">
        <is>
          <t>Стратиграфия и давления в одной таблице - по каждой пачке. Давления задаются эквивалентной плотностью в г/см³. Без них программа не проверит, вписывается ли ЭЦП в «окно бурения».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</row>
    <row r="4" ht="36" customHeight="1">
      <c r="A4" s="15" t="inlineStr">
        <is>
          <t>Свита / горизонт</t>
        </is>
      </c>
      <c r="B4" s="15" t="inlineStr">
        <is>
          <t>От, м MD</t>
        </is>
      </c>
      <c r="C4" s="15" t="inlineStr">
        <is>
          <t>До, м MD</t>
        </is>
      </c>
      <c r="D4" s="15" t="inlineStr">
        <is>
          <t>Литология</t>
        </is>
      </c>
      <c r="E4" s="15" t="inlineStr">
        <is>
          <t>Плотность породы, г/см³</t>
        </is>
      </c>
      <c r="F4" s="15" t="inlineStr">
        <is>
          <t>Поровое давление, г/см³</t>
        </is>
      </c>
      <c r="G4" s="15" t="inlineStr">
        <is>
          <t>Давление ГРП, г/см³</t>
        </is>
      </c>
      <c r="H4" s="15" t="inlineStr">
        <is>
          <t>Начало поглощения, г/см³</t>
        </is>
      </c>
      <c r="I4" s="15" t="inlineStr">
        <is>
          <t>Примечание</t>
        </is>
      </c>
    </row>
    <row r="5">
      <c r="A5" s="19" t="inlineStr">
        <is>
          <t>Четвертичные</t>
        </is>
      </c>
      <c r="B5" s="19" t="n">
        <v>0</v>
      </c>
      <c r="C5" s="19" t="n">
        <v>20</v>
      </c>
      <c r="D5" s="19" t="inlineStr">
        <is>
          <t>пески, суглинки</t>
        </is>
      </c>
      <c r="E5" s="19" t="n">
        <v>1.95</v>
      </c>
      <c r="F5" s="19" t="n">
        <v>1</v>
      </c>
      <c r="G5" s="19" t="n">
        <v>1.6</v>
      </c>
      <c r="H5" s="19" t="n">
        <v>1.5</v>
      </c>
      <c r="I5" s="19" t="n"/>
    </row>
    <row r="6">
      <c r="A6" s="19" t="inlineStr">
        <is>
          <t>Укугутская</t>
        </is>
      </c>
      <c r="B6" s="19" t="n">
        <v>20</v>
      </c>
      <c r="C6" s="19" t="n">
        <v>46</v>
      </c>
      <c r="D6" s="19" t="inlineStr">
        <is>
          <t>песчаники, алевролиты</t>
        </is>
      </c>
      <c r="E6" s="19" t="n">
        <v>2.22</v>
      </c>
      <c r="F6" s="19" t="n">
        <v>1</v>
      </c>
      <c r="G6" s="19" t="n">
        <v>1.62</v>
      </c>
      <c r="H6" s="19" t="n">
        <v>1.52</v>
      </c>
      <c r="I6" s="19" t="n"/>
    </row>
    <row r="7">
      <c r="A7" s="19" t="inlineStr">
        <is>
          <t>Бордонская</t>
        </is>
      </c>
      <c r="B7" s="19" t="n">
        <v>46</v>
      </c>
      <c r="C7" s="19" t="n">
        <v>208</v>
      </c>
      <c r="D7" s="19" t="inlineStr">
        <is>
          <t>мергели, доломиты</t>
        </is>
      </c>
      <c r="E7" s="19" t="n">
        <v>2.42</v>
      </c>
      <c r="F7" s="19" t="n">
        <v>1.02</v>
      </c>
      <c r="G7" s="19" t="n">
        <v>1.65</v>
      </c>
      <c r="H7" s="19" t="n">
        <v>1.55</v>
      </c>
      <c r="I7" s="19" t="n"/>
    </row>
    <row r="8">
      <c r="A8" s="19" t="inlineStr">
        <is>
          <t>Метегерская</t>
        </is>
      </c>
      <c r="B8" s="19" t="n">
        <v>208</v>
      </c>
      <c r="C8" s="19" t="n">
        <v>262</v>
      </c>
      <c r="D8" s="19" t="inlineStr">
        <is>
          <t>доломиты, ангидриты</t>
        </is>
      </c>
      <c r="E8" s="19" t="n">
        <v>2.62</v>
      </c>
      <c r="F8" s="19" t="n">
        <v>1.03</v>
      </c>
      <c r="G8" s="19" t="n">
        <v>1.68</v>
      </c>
      <c r="H8" s="19" t="n">
        <v>1.58</v>
      </c>
      <c r="I8" s="19" t="n"/>
    </row>
    <row r="9">
      <c r="A9" s="19" t="inlineStr">
        <is>
          <t>Ичерская</t>
        </is>
      </c>
      <c r="B9" s="19" t="n">
        <v>262</v>
      </c>
      <c r="C9" s="19" t="n">
        <v>290</v>
      </c>
      <c r="D9" s="19" t="inlineStr">
        <is>
          <t>доломиты</t>
        </is>
      </c>
      <c r="E9" s="19" t="n">
        <v>2.67</v>
      </c>
      <c r="F9" s="19" t="n">
        <v>1.03</v>
      </c>
      <c r="G9" s="19" t="n">
        <v>1.7</v>
      </c>
      <c r="H9" s="19" t="n">
        <v>1.6</v>
      </c>
      <c r="I9" s="19" t="n"/>
    </row>
    <row r="10">
      <c r="A10" s="19" t="inlineStr">
        <is>
          <t>Чарская</t>
        </is>
      </c>
      <c r="B10" s="19" t="n">
        <v>290</v>
      </c>
      <c r="C10" s="19" t="n">
        <v>452</v>
      </c>
      <c r="D10" s="19" t="inlineStr">
        <is>
          <t>доломиты, соли</t>
        </is>
      </c>
      <c r="E10" s="19" t="n">
        <v>2.4</v>
      </c>
      <c r="F10" s="19" t="n">
        <v>1.04</v>
      </c>
      <c r="G10" s="19" t="n">
        <v>1.72</v>
      </c>
      <c r="H10" s="19" t="n">
        <v>1.62</v>
      </c>
      <c r="I10" s="19" t="n"/>
    </row>
    <row r="11">
      <c r="A11" s="19" t="inlineStr">
        <is>
          <t>Олекминская</t>
        </is>
      </c>
      <c r="B11" s="19" t="n">
        <v>452</v>
      </c>
      <c r="C11" s="19" t="n">
        <v>545</v>
      </c>
      <c r="D11" s="19" t="inlineStr">
        <is>
          <t>каменная соль</t>
        </is>
      </c>
      <c r="E11" s="19" t="n">
        <v>2.65</v>
      </c>
      <c r="F11" s="19" t="n">
        <v>1.06</v>
      </c>
      <c r="G11" s="19" t="n">
        <v>1.78</v>
      </c>
      <c r="H11" s="19" t="n">
        <v>1.68</v>
      </c>
      <c r="I11" s="19" t="n"/>
    </row>
    <row r="12">
      <c r="A12" s="19" t="inlineStr">
        <is>
          <t>Верхнетолбачанская</t>
        </is>
      </c>
      <c r="B12" s="19" t="n">
        <v>545</v>
      </c>
      <c r="C12" s="19" t="n">
        <v>879</v>
      </c>
      <c r="D12" s="19" t="inlineStr">
        <is>
          <t>соли, доломиты</t>
        </is>
      </c>
      <c r="E12" s="19" t="n">
        <v>2.44</v>
      </c>
      <c r="F12" s="19" t="n">
        <v>1.05</v>
      </c>
      <c r="G12" s="19" t="n">
        <v>1.8</v>
      </c>
      <c r="H12" s="19" t="n">
        <v>1.7</v>
      </c>
      <c r="I12" s="19" t="n"/>
    </row>
    <row r="13">
      <c r="A13" s="19" t="inlineStr">
        <is>
          <t>Нижнетолбачанская (Траппы)</t>
        </is>
      </c>
      <c r="B13" s="19" t="n">
        <v>879</v>
      </c>
      <c r="C13" s="19" t="n">
        <v>1118</v>
      </c>
      <c r="D13" s="19" t="inlineStr">
        <is>
          <t>долериты</t>
        </is>
      </c>
      <c r="E13" s="19" t="n">
        <v>2.95</v>
      </c>
      <c r="F13" s="19" t="n">
        <v>1.06</v>
      </c>
      <c r="G13" s="19" t="n">
        <v>1.82</v>
      </c>
      <c r="H13" s="19" t="n">
        <v>1.72</v>
      </c>
      <c r="I13" s="19" t="n"/>
    </row>
    <row r="14">
      <c r="A14" s="19" t="inlineStr">
        <is>
          <t>Эльгянская</t>
        </is>
      </c>
      <c r="B14" s="19" t="n">
        <v>1118</v>
      </c>
      <c r="C14" s="19" t="n">
        <v>1180</v>
      </c>
      <c r="D14" s="19" t="inlineStr">
        <is>
          <t>доломиты</t>
        </is>
      </c>
      <c r="E14" s="19" t="n">
        <v>2.7</v>
      </c>
      <c r="F14" s="19" t="n">
        <v>1.08</v>
      </c>
      <c r="G14" s="19" t="n">
        <v>1.86</v>
      </c>
      <c r="H14" s="19" t="n">
        <v>1.76</v>
      </c>
      <c r="I14" s="19" t="n"/>
    </row>
    <row r="15">
      <c r="A15" s="19" t="inlineStr">
        <is>
          <t>Нелбинская</t>
        </is>
      </c>
      <c r="B15" s="19" t="n">
        <v>1180</v>
      </c>
      <c r="C15" s="19" t="n">
        <v>1226</v>
      </c>
      <c r="D15" s="19" t="inlineStr">
        <is>
          <t>доломиты, соли</t>
        </is>
      </c>
      <c r="E15" s="19" t="n">
        <v>2.57</v>
      </c>
      <c r="F15" s="19" t="n">
        <v>1.09</v>
      </c>
      <c r="G15" s="19" t="n">
        <v>1.86</v>
      </c>
      <c r="H15" s="19" t="n">
        <v>1.76</v>
      </c>
      <c r="I15" s="19" t="n"/>
    </row>
    <row r="16">
      <c r="A16" s="19" t="inlineStr">
        <is>
          <t>Юрегинская</t>
        </is>
      </c>
      <c r="B16" s="19" t="n">
        <v>1226</v>
      </c>
      <c r="C16" s="19" t="n">
        <v>1474</v>
      </c>
      <c r="D16" s="19" t="inlineStr">
        <is>
          <t>каменная соль</t>
        </is>
      </c>
      <c r="E16" s="19" t="n">
        <v>2.45</v>
      </c>
      <c r="F16" s="19" t="n">
        <v>1.12</v>
      </c>
      <c r="G16" s="19" t="n">
        <v>1.84</v>
      </c>
      <c r="H16" s="19" t="n">
        <v>1.74</v>
      </c>
      <c r="I16" s="19" t="n"/>
    </row>
    <row r="17">
      <c r="A17" s="19" t="inlineStr">
        <is>
          <t>Билирская (Осинский)</t>
        </is>
      </c>
      <c r="B17" s="19" t="n">
        <v>1474</v>
      </c>
      <c r="C17" s="19" t="n">
        <v>1544</v>
      </c>
      <c r="D17" s="19" t="inlineStr">
        <is>
          <t>доломиты</t>
        </is>
      </c>
      <c r="E17" s="19" t="n">
        <v>2.62</v>
      </c>
      <c r="F17" s="19" t="n">
        <v>1.13</v>
      </c>
      <c r="G17" s="19" t="n">
        <v>1.75</v>
      </c>
      <c r="H17" s="19" t="n">
        <v>1.66</v>
      </c>
      <c r="I17" s="19" t="n"/>
    </row>
    <row r="18">
      <c r="A18" s="19" t="inlineStr">
        <is>
          <t>Осинский горизонт</t>
        </is>
      </c>
      <c r="B18" s="19" t="n">
        <v>1544</v>
      </c>
      <c r="C18" s="19" t="n">
        <v>1902</v>
      </c>
      <c r="D18" s="19" t="inlineStr">
        <is>
          <t>доломиты кавернозные</t>
        </is>
      </c>
      <c r="E18" s="19" t="n">
        <v>2.62</v>
      </c>
      <c r="F18" s="19" t="n">
        <v>1.14</v>
      </c>
      <c r="G18" s="19" t="n">
        <v>1.72</v>
      </c>
      <c r="H18" s="19" t="n">
        <v>1.63</v>
      </c>
      <c r="I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30">
      <c r="A30" s="20" t="inlineStr">
        <is>
          <t>ПРИМЕР →</t>
        </is>
      </c>
      <c r="B30" s="21" t="n">
        <v>879</v>
      </c>
      <c r="C30" s="21" t="n">
        <v>1118</v>
      </c>
      <c r="D30" s="21" t="inlineStr">
        <is>
          <t>долериты (траппы)</t>
        </is>
      </c>
      <c r="E30" s="21" t="n">
        <v>2.95</v>
      </c>
      <c r="F30" s="21" t="n">
        <v>1.06</v>
      </c>
      <c r="G30" s="21" t="n">
        <v>1.82</v>
      </c>
      <c r="H30" s="21" t="n">
        <v>1.72</v>
      </c>
      <c r="I30" s="21" t="inlineStr">
        <is>
          <t>зона поглощений</t>
        </is>
      </c>
    </row>
  </sheetData>
  <mergeCells count="1"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20" customWidth="1" min="5" max="5"/>
    <col width="17" customWidth="1" min="6" max="6"/>
    <col width="14" customWidth="1" min="7" max="7"/>
    <col width="12" customWidth="1" min="8" max="8"/>
    <col width="16" customWidth="1" min="9" max="9"/>
    <col width="18" customWidth="1" min="10" max="10"/>
    <col width="26" customWidth="1" min="11" max="11"/>
  </cols>
  <sheetData>
    <row r="1">
      <c r="A1" s="4" t="inlineStr">
        <is>
          <t>ИНТЕРВАЛЫ БУРЕНИЯ</t>
        </is>
      </c>
    </row>
    <row r="2" ht="30" customHeight="1">
      <c r="A2" s="3" t="inlineStr">
        <is>
          <t>Главный лист: задаёт разбивку расчёта. Названия из первого столбца используются на всех остальных листах - если меняете их здесь, поменяйте и там. Один интервал = одна КНБК и один режим промывки.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36" customHeight="1">
      <c r="A4" s="15" t="inlineStr">
        <is>
          <t>Интервал</t>
        </is>
      </c>
      <c r="B4" s="15" t="inlineStr">
        <is>
          <t>От, м MD</t>
        </is>
      </c>
      <c r="C4" s="15" t="inlineStr">
        <is>
          <t>До, м MD</t>
        </is>
      </c>
      <c r="D4" s="15" t="inlineStr">
        <is>
          <t>Ø долота, мм</t>
        </is>
      </c>
      <c r="E4" s="15" t="inlineStr">
        <is>
          <t>Тип долота</t>
        </is>
      </c>
      <c r="F4" s="15" t="inlineStr">
        <is>
          <t>Способ бурения</t>
        </is>
      </c>
      <c r="G4" s="15" t="inlineStr">
        <is>
          <t>Расход, л/с</t>
        </is>
      </c>
      <c r="H4" s="15" t="inlineStr">
        <is>
          <t>МСП, м/ч</t>
        </is>
      </c>
      <c r="I4" s="15" t="inlineStr">
        <is>
          <t>Коэф. кавернозности</t>
        </is>
      </c>
      <c r="J4" s="15" t="inlineStr">
        <is>
          <t>Обороты колонны, об/мин</t>
        </is>
      </c>
      <c r="K4" s="15" t="inlineStr">
        <is>
          <t>Примечание</t>
        </is>
      </c>
    </row>
    <row r="5">
      <c r="A5" s="16" t="inlineStr">
        <is>
          <t>Направление</t>
        </is>
      </c>
      <c r="B5" s="19" t="n">
        <v>0</v>
      </c>
      <c r="C5" s="19" t="n">
        <v>40</v>
      </c>
      <c r="D5" s="19" t="n">
        <v>393.7</v>
      </c>
      <c r="E5" s="19" t="inlineStr">
        <is>
          <t>шарошечное</t>
        </is>
      </c>
      <c r="F5" s="19" t="inlineStr">
        <is>
          <t>ротор</t>
        </is>
      </c>
      <c r="G5" s="19" t="inlineStr">
        <is>
          <t>50-55</t>
        </is>
      </c>
      <c r="H5" s="19" t="n">
        <v>7</v>
      </c>
      <c r="I5" s="19" t="n">
        <v>1.25</v>
      </c>
      <c r="J5" s="19" t="inlineStr"/>
      <c r="K5" s="19" t="n"/>
    </row>
    <row r="6">
      <c r="A6" s="16" t="inlineStr">
        <is>
          <t>Кондуктор 1</t>
        </is>
      </c>
      <c r="B6" s="19" t="n">
        <v>40</v>
      </c>
      <c r="C6" s="19" t="n">
        <v>145</v>
      </c>
      <c r="D6" s="19" t="n">
        <v>295.3</v>
      </c>
      <c r="E6" s="19" t="inlineStr">
        <is>
          <t>PDC MDSi616</t>
        </is>
      </c>
      <c r="F6" s="19" t="inlineStr">
        <is>
          <t>ротор+ВЗД</t>
        </is>
      </c>
      <c r="G6" s="19" t="inlineStr">
        <is>
          <t>50-55</t>
        </is>
      </c>
      <c r="H6" s="19" t="n">
        <v>20</v>
      </c>
      <c r="I6" s="19" t="n">
        <v>1.15</v>
      </c>
      <c r="J6" s="19" t="inlineStr"/>
      <c r="K6" s="19" t="n"/>
    </row>
    <row r="7">
      <c r="A7" s="16" t="inlineStr">
        <is>
          <t>Кондуктор 2</t>
        </is>
      </c>
      <c r="B7" s="19" t="n">
        <v>145</v>
      </c>
      <c r="C7" s="19" t="n">
        <v>410</v>
      </c>
      <c r="D7" s="19" t="n">
        <v>295.3</v>
      </c>
      <c r="E7" s="19" t="inlineStr">
        <is>
          <t>PDC MDSi616</t>
        </is>
      </c>
      <c r="F7" s="19" t="inlineStr">
        <is>
          <t>ротор+ВЗД</t>
        </is>
      </c>
      <c r="G7" s="19" t="inlineStr">
        <is>
          <t>50-55</t>
        </is>
      </c>
      <c r="H7" s="19" t="n">
        <v>20</v>
      </c>
      <c r="I7" s="19" t="n">
        <v>1.12</v>
      </c>
      <c r="J7" s="19" t="inlineStr"/>
      <c r="K7" s="19" t="n"/>
    </row>
    <row r="8">
      <c r="A8" s="16" t="inlineStr">
        <is>
          <t>Экс.колонна 1</t>
        </is>
      </c>
      <c r="B8" s="19" t="n">
        <v>410</v>
      </c>
      <c r="C8" s="19" t="n">
        <v>922</v>
      </c>
      <c r="D8" s="19" t="n">
        <v>219.1</v>
      </c>
      <c r="E8" s="19" t="inlineStr">
        <is>
          <t>PDC MM56</t>
        </is>
      </c>
      <c r="F8" s="19" t="inlineStr">
        <is>
          <t>ротор+ВЗД</t>
        </is>
      </c>
      <c r="G8" s="19" t="inlineStr">
        <is>
          <t>36-38</t>
        </is>
      </c>
      <c r="H8" s="19" t="n">
        <v>15</v>
      </c>
      <c r="I8" s="19" t="n">
        <v>1.1</v>
      </c>
      <c r="J8" s="19" t="inlineStr">
        <is>
          <t>соли</t>
        </is>
      </c>
      <c r="K8" s="19" t="n"/>
    </row>
    <row r="9">
      <c r="A9" s="16" t="inlineStr">
        <is>
          <t>Экс.колонна 2</t>
        </is>
      </c>
      <c r="B9" s="19" t="n">
        <v>922</v>
      </c>
      <c r="C9" s="19" t="n">
        <v>1142</v>
      </c>
      <c r="D9" s="19" t="n">
        <v>219.1</v>
      </c>
      <c r="E9" s="19" t="inlineStr">
        <is>
          <t>PDC MM56</t>
        </is>
      </c>
      <c r="F9" s="19" t="inlineStr">
        <is>
          <t>ротор+ВЗД</t>
        </is>
      </c>
      <c r="G9" s="19" t="inlineStr">
        <is>
          <t>30</t>
        </is>
      </c>
      <c r="H9" s="19" t="n">
        <v>2</v>
      </c>
      <c r="I9" s="19" t="n">
        <v>1.06</v>
      </c>
      <c r="J9" s="19" t="inlineStr">
        <is>
          <t>траппы</t>
        </is>
      </c>
      <c r="K9" s="19" t="n"/>
    </row>
    <row r="10">
      <c r="A10" s="16" t="inlineStr">
        <is>
          <t>Экс.колонна 3</t>
        </is>
      </c>
      <c r="B10" s="19" t="n">
        <v>1142</v>
      </c>
      <c r="C10" s="19" t="n">
        <v>1670</v>
      </c>
      <c r="D10" s="19" t="n">
        <v>219.1</v>
      </c>
      <c r="E10" s="19" t="inlineStr">
        <is>
          <t>PDC MM56</t>
        </is>
      </c>
      <c r="F10" s="19" t="inlineStr">
        <is>
          <t>ротор+ВЗД</t>
        </is>
      </c>
      <c r="G10" s="19" t="inlineStr">
        <is>
          <t>36-38</t>
        </is>
      </c>
      <c r="H10" s="19" t="n">
        <v>15</v>
      </c>
      <c r="I10" s="19" t="n">
        <v>1.09</v>
      </c>
      <c r="J10" s="19" t="inlineStr"/>
      <c r="K10" s="19" t="n"/>
    </row>
    <row r="11">
      <c r="A11" s="16" t="inlineStr">
        <is>
          <t>Хвостовик</t>
        </is>
      </c>
      <c r="B11" s="19" t="n">
        <v>1670</v>
      </c>
      <c r="C11" s="19" t="n">
        <v>1902</v>
      </c>
      <c r="D11" s="19" t="n">
        <v>155.6</v>
      </c>
      <c r="E11" s="19" t="inlineStr">
        <is>
          <t>PDC MDi516</t>
        </is>
      </c>
      <c r="F11" s="19" t="inlineStr">
        <is>
          <t>ротор+ВЗД</t>
        </is>
      </c>
      <c r="G11" s="19" t="inlineStr">
        <is>
          <t>16-18</t>
        </is>
      </c>
      <c r="H11" s="19" t="n">
        <v>10</v>
      </c>
      <c r="I11" s="19" t="n">
        <v>1.05</v>
      </c>
      <c r="J11" s="19" t="inlineStr"/>
      <c r="K11" s="19" t="n"/>
    </row>
    <row r="12">
      <c r="A12" s="23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</row>
    <row r="13">
      <c r="A13" s="23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</row>
    <row r="14">
      <c r="A14" s="23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</row>
    <row r="16">
      <c r="A16" s="20" t="inlineStr">
        <is>
          <t>ПРИМЕР →</t>
        </is>
      </c>
      <c r="B16" s="21" t="n">
        <v>145</v>
      </c>
      <c r="C16" s="21" t="n">
        <v>410</v>
      </c>
      <c r="D16" s="21" t="n">
        <v>295.3</v>
      </c>
      <c r="E16" s="21" t="inlineStr">
        <is>
          <t>PDC MDSi616</t>
        </is>
      </c>
      <c r="F16" s="21" t="inlineStr">
        <is>
          <t>ротор+ВЗД</t>
        </is>
      </c>
      <c r="G16" s="21" t="inlineStr">
        <is>
          <t>50-55</t>
        </is>
      </c>
      <c r="H16" s="21" t="n">
        <v>20</v>
      </c>
      <c r="I16" s="21" t="n">
        <v>1.12</v>
      </c>
      <c r="J16" s="21" t="n">
        <v>60</v>
      </c>
      <c r="K16" s="21" t="inlineStr"/>
    </row>
  </sheetData>
  <mergeCells count="1">
    <mergeCell ref="A2:K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1" customWidth="1" min="11" max="11"/>
    <col width="14" customWidth="1" min="12" max="12"/>
    <col width="15" customWidth="1" min="13" max="13"/>
    <col width="10" customWidth="1" min="14" max="14"/>
    <col width="15" customWidth="1" min="15" max="15"/>
    <col width="19" customWidth="1" min="16" max="16"/>
  </cols>
  <sheetData>
    <row r="1">
      <c r="A1" s="4" t="inlineStr">
        <is>
          <t>ПАРАМЕТРЫ БУРОВОГО РАСТВОРА</t>
        </is>
      </c>
    </row>
    <row r="2" ht="30" customHeight="1">
      <c r="A2" s="3" t="inlineStr">
        <is>
          <t>Показания вискозиметра Фанна в фунт/100 фут². Если вискозиметра нет, заполните только плотность, ПВ и ДНС и выберите модель Бингама. Столбец «Модель реологии» можно оставить пустым: программа выберет модель по тому, какие данные заполнены.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</row>
    <row r="4" ht="36" customHeight="1">
      <c r="A4" s="15" t="inlineStr">
        <is>
          <t>Интервал</t>
        </is>
      </c>
      <c r="B4" s="15" t="inlineStr">
        <is>
          <t>Тип раствора</t>
        </is>
      </c>
      <c r="C4" s="15" t="inlineStr">
        <is>
          <t>Плотность, г/см³</t>
        </is>
      </c>
      <c r="D4" s="15" t="inlineStr">
        <is>
          <t>θ600</t>
        </is>
      </c>
      <c r="E4" s="15" t="inlineStr">
        <is>
          <t>θ300</t>
        </is>
      </c>
      <c r="F4" s="15" t="inlineStr">
        <is>
          <t>θ200</t>
        </is>
      </c>
      <c r="G4" s="15" t="inlineStr">
        <is>
          <t>θ100</t>
        </is>
      </c>
      <c r="H4" s="15" t="inlineStr">
        <is>
          <t>θ6</t>
        </is>
      </c>
      <c r="I4" s="15" t="inlineStr">
        <is>
          <t>θ3</t>
        </is>
      </c>
      <c r="J4" s="15" t="inlineStr">
        <is>
          <t>СНС 10 с</t>
        </is>
      </c>
      <c r="K4" s="15" t="inlineStr">
        <is>
          <t>СНС 10 мин</t>
        </is>
      </c>
      <c r="L4" s="15" t="inlineStr">
        <is>
          <t>Температура замера, °C</t>
        </is>
      </c>
      <c r="M4" s="15" t="inlineStr">
        <is>
          <t>Водоотдача, см³/30 мин</t>
        </is>
      </c>
      <c r="N4" s="15" t="inlineStr">
        <is>
          <t>ПВ, сПз</t>
        </is>
      </c>
      <c r="O4" s="15" t="inlineStr">
        <is>
          <t>ДНС, фунт/100 фут²</t>
        </is>
      </c>
      <c r="P4" s="15" t="inlineStr">
        <is>
          <t>Модель реологии</t>
        </is>
      </c>
    </row>
    <row r="5">
      <c r="A5" s="16" t="inlineStr">
        <is>
          <t>Направление</t>
        </is>
      </c>
      <c r="B5" s="19" t="inlineStr">
        <is>
          <t>глинистый</t>
        </is>
      </c>
      <c r="C5" s="19" t="n">
        <v>1.11</v>
      </c>
      <c r="D5" s="19" t="n">
        <v>42</v>
      </c>
      <c r="E5" s="19" t="n">
        <v>28</v>
      </c>
      <c r="F5" s="19" t="n">
        <v>22</v>
      </c>
      <c r="G5" s="19" t="n">
        <v>16</v>
      </c>
      <c r="H5" s="19" t="n">
        <v>5</v>
      </c>
      <c r="I5" s="19" t="n">
        <v>4</v>
      </c>
      <c r="J5" s="19" t="n">
        <v>5</v>
      </c>
      <c r="K5" s="19" t="n">
        <v>9</v>
      </c>
      <c r="L5" s="19" t="n">
        <v>12</v>
      </c>
      <c r="M5" s="19" t="n">
        <v>8</v>
      </c>
      <c r="N5" s="19" t="n"/>
      <c r="O5" s="19" t="n"/>
      <c r="P5" s="19" t="n"/>
    </row>
    <row r="6">
      <c r="A6" s="16" t="inlineStr">
        <is>
          <t>Кондуктор 1</t>
        </is>
      </c>
      <c r="B6" s="19" t="inlineStr">
        <is>
          <t>полимерглинистый</t>
        </is>
      </c>
      <c r="C6" s="19" t="n">
        <v>1.13</v>
      </c>
      <c r="D6" s="19" t="n">
        <v>80</v>
      </c>
      <c r="E6" s="19" t="n">
        <v>55</v>
      </c>
      <c r="F6" s="19" t="n">
        <v>44</v>
      </c>
      <c r="G6" s="19" t="n">
        <v>32</v>
      </c>
      <c r="H6" s="19" t="n">
        <v>8</v>
      </c>
      <c r="I6" s="19" t="n">
        <v>6</v>
      </c>
      <c r="J6" s="19" t="n">
        <v>8</v>
      </c>
      <c r="K6" s="19" t="n">
        <v>14</v>
      </c>
      <c r="L6" s="19" t="n">
        <v>25</v>
      </c>
      <c r="M6" s="19" t="n">
        <v>6.5</v>
      </c>
      <c r="N6" s="19" t="n"/>
      <c r="O6" s="19" t="n"/>
      <c r="P6" s="19" t="n"/>
    </row>
    <row r="7">
      <c r="A7" s="16" t="inlineStr">
        <is>
          <t>Кондуктор 2</t>
        </is>
      </c>
      <c r="B7" s="19" t="inlineStr">
        <is>
          <t>полимерглинистый</t>
        </is>
      </c>
      <c r="C7" s="19" t="n">
        <v>1.13</v>
      </c>
      <c r="D7" s="19" t="n">
        <v>80</v>
      </c>
      <c r="E7" s="19" t="n">
        <v>55</v>
      </c>
      <c r="F7" s="19" t="n">
        <v>44</v>
      </c>
      <c r="G7" s="19" t="n">
        <v>32</v>
      </c>
      <c r="H7" s="19" t="n">
        <v>8</v>
      </c>
      <c r="I7" s="19" t="n">
        <v>6</v>
      </c>
      <c r="J7" s="19" t="n">
        <v>8</v>
      </c>
      <c r="K7" s="19" t="n">
        <v>14</v>
      </c>
      <c r="L7" s="19" t="n">
        <v>25</v>
      </c>
      <c r="M7" s="19" t="n">
        <v>6.5</v>
      </c>
      <c r="N7" s="19" t="n"/>
      <c r="O7" s="19" t="n"/>
      <c r="P7" s="19" t="n"/>
    </row>
    <row r="8">
      <c r="A8" s="16" t="inlineStr">
        <is>
          <t>Экс.колонна 1</t>
        </is>
      </c>
      <c r="B8" s="19" t="inlineStr">
        <is>
          <t>полимерный (соленасыщ.)</t>
        </is>
      </c>
      <c r="C8" s="19" t="n">
        <v>1.23</v>
      </c>
      <c r="D8" s="19" t="n">
        <v>74</v>
      </c>
      <c r="E8" s="19" t="n">
        <v>52</v>
      </c>
      <c r="F8" s="19" t="n">
        <v>42</v>
      </c>
      <c r="G8" s="19" t="n">
        <v>31</v>
      </c>
      <c r="H8" s="19" t="n">
        <v>9</v>
      </c>
      <c r="I8" s="19" t="n">
        <v>7</v>
      </c>
      <c r="J8" s="19" t="n">
        <v>9</v>
      </c>
      <c r="K8" s="19" t="n">
        <v>16</v>
      </c>
      <c r="L8" s="19" t="n">
        <v>45</v>
      </c>
      <c r="M8" s="19" t="n">
        <v>5</v>
      </c>
      <c r="N8" s="19" t="n"/>
      <c r="O8" s="19" t="n"/>
      <c r="P8" s="19" t="n"/>
    </row>
    <row r="9">
      <c r="A9" s="16" t="inlineStr">
        <is>
          <t>Экс.колонна 2</t>
        </is>
      </c>
      <c r="B9" s="19" t="inlineStr">
        <is>
          <t>полимерный (соленасыщ.)</t>
        </is>
      </c>
      <c r="C9" s="19" t="n">
        <v>1.23</v>
      </c>
      <c r="D9" s="19" t="n">
        <v>74</v>
      </c>
      <c r="E9" s="19" t="n">
        <v>52</v>
      </c>
      <c r="F9" s="19" t="n">
        <v>42</v>
      </c>
      <c r="G9" s="19" t="n">
        <v>31</v>
      </c>
      <c r="H9" s="19" t="n">
        <v>9</v>
      </c>
      <c r="I9" s="19" t="n">
        <v>7</v>
      </c>
      <c r="J9" s="19" t="n">
        <v>9</v>
      </c>
      <c r="K9" s="19" t="n">
        <v>16</v>
      </c>
      <c r="L9" s="19" t="n">
        <v>52</v>
      </c>
      <c r="M9" s="19" t="n">
        <v>5</v>
      </c>
      <c r="N9" s="19" t="n"/>
      <c r="O9" s="19" t="n"/>
      <c r="P9" s="19" t="n"/>
    </row>
    <row r="10">
      <c r="A10" s="16" t="inlineStr">
        <is>
          <t>Экс.колонна 3</t>
        </is>
      </c>
      <c r="B10" s="19" t="inlineStr">
        <is>
          <t>полимерный (соленасыщ.)</t>
        </is>
      </c>
      <c r="C10" s="19" t="n">
        <v>1.23</v>
      </c>
      <c r="D10" s="19" t="n">
        <v>74</v>
      </c>
      <c r="E10" s="19" t="n">
        <v>52</v>
      </c>
      <c r="F10" s="19" t="n">
        <v>42</v>
      </c>
      <c r="G10" s="19" t="n">
        <v>31</v>
      </c>
      <c r="H10" s="19" t="n">
        <v>9</v>
      </c>
      <c r="I10" s="19" t="n">
        <v>7</v>
      </c>
      <c r="J10" s="19" t="n">
        <v>9</v>
      </c>
      <c r="K10" s="19" t="n">
        <v>16</v>
      </c>
      <c r="L10" s="19" t="n">
        <v>58</v>
      </c>
      <c r="M10" s="19" t="n">
        <v>5</v>
      </c>
      <c r="N10" s="19" t="n"/>
      <c r="O10" s="19" t="n"/>
      <c r="P10" s="19" t="n"/>
    </row>
    <row r="11">
      <c r="A11" s="16" t="inlineStr">
        <is>
          <t>Хвостовик</t>
        </is>
      </c>
      <c r="B11" s="19" t="inlineStr">
        <is>
          <t>полимерный</t>
        </is>
      </c>
      <c r="C11" s="19" t="n">
        <v>1.23</v>
      </c>
      <c r="D11" s="19" t="n">
        <v>76</v>
      </c>
      <c r="E11" s="19" t="n">
        <v>54</v>
      </c>
      <c r="F11" s="19" t="n">
        <v>44</v>
      </c>
      <c r="G11" s="19" t="n">
        <v>33</v>
      </c>
      <c r="H11" s="19" t="n">
        <v>10</v>
      </c>
      <c r="I11" s="19" t="n">
        <v>8</v>
      </c>
      <c r="J11" s="19" t="n">
        <v>10</v>
      </c>
      <c r="K11" s="19" t="n">
        <v>18</v>
      </c>
      <c r="L11" s="19" t="n">
        <v>62</v>
      </c>
      <c r="M11" s="19" t="n">
        <v>4.5</v>
      </c>
      <c r="N11" s="19" t="n"/>
      <c r="O11" s="19" t="n"/>
      <c r="P11" s="19" t="n"/>
    </row>
    <row r="13">
      <c r="A13" s="20" t="inlineStr">
        <is>
          <t>ПРИМЕР →</t>
        </is>
      </c>
      <c r="B13" s="21" t="inlineStr">
        <is>
          <t>полимерглинистый</t>
        </is>
      </c>
      <c r="C13" s="21" t="n">
        <v>1.13</v>
      </c>
      <c r="D13" s="21" t="n">
        <v>80</v>
      </c>
      <c r="E13" s="21" t="n">
        <v>55</v>
      </c>
      <c r="F13" s="21" t="n">
        <v>44</v>
      </c>
      <c r="G13" s="21" t="n">
        <v>32</v>
      </c>
      <c r="H13" s="21" t="n">
        <v>8</v>
      </c>
      <c r="I13" s="21" t="n">
        <v>6</v>
      </c>
      <c r="J13" s="21" t="n">
        <v>8</v>
      </c>
      <c r="K13" s="21" t="n">
        <v>14</v>
      </c>
      <c r="L13" s="21" t="n">
        <v>25</v>
      </c>
      <c r="M13" s="21" t="n">
        <v>6.5</v>
      </c>
      <c r="N13" s="21" t="inlineStr"/>
      <c r="O13" s="21" t="inlineStr"/>
      <c r="P13" s="21" t="inlineStr">
        <is>
          <t>Гершеля-Балкли</t>
        </is>
      </c>
    </row>
  </sheetData>
  <mergeCells count="1">
    <mergeCell ref="A2:P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3" customWidth="1" min="10" max="10"/>
    <col width="34" customWidth="1" min="11" max="11"/>
  </cols>
  <sheetData>
    <row r="1">
      <c r="A1" s="4" t="inlineStr">
        <is>
          <t>НАСАДКИ ДОЛОТ</t>
        </is>
      </c>
    </row>
    <row r="2" ht="30" customHeight="1">
      <c r="A2" s="3" t="inlineStr">
        <is>
          <t>Диаметры насадок в 1/32 дюйма (Н1…Н8). Лишние ячейки оставьте пустыми. TFA считается формулой. Если известна только TFA - впишите её вручную в последний столбец вместо формулы.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36" customHeight="1">
      <c r="A4" s="15" t="inlineStr">
        <is>
          <t>Интервал</t>
        </is>
      </c>
      <c r="B4" s="15" t="inlineStr">
        <is>
          <t>Н1</t>
        </is>
      </c>
      <c r="C4" s="15" t="inlineStr">
        <is>
          <t>Н2</t>
        </is>
      </c>
      <c r="D4" s="15" t="inlineStr">
        <is>
          <t>Н3</t>
        </is>
      </c>
      <c r="E4" s="15" t="inlineStr">
        <is>
          <t>Н4</t>
        </is>
      </c>
      <c r="F4" s="15" t="inlineStr">
        <is>
          <t>Н5</t>
        </is>
      </c>
      <c r="G4" s="15" t="inlineStr">
        <is>
          <t>Н6</t>
        </is>
      </c>
      <c r="H4" s="15" t="inlineStr">
        <is>
          <t>Н7</t>
        </is>
      </c>
      <c r="I4" s="15" t="inlineStr">
        <is>
          <t>Н8</t>
        </is>
      </c>
      <c r="J4" s="15" t="inlineStr">
        <is>
          <t>TFA, дюйм²</t>
        </is>
      </c>
      <c r="K4" s="15" t="inlineStr">
        <is>
          <t>Примечание</t>
        </is>
      </c>
    </row>
    <row r="5">
      <c r="A5" s="16" t="inlineStr">
        <is>
          <t>Направление</t>
        </is>
      </c>
      <c r="B5" s="19" t="n">
        <v>22</v>
      </c>
      <c r="C5" s="19" t="n">
        <v>22</v>
      </c>
      <c r="D5" s="19" t="n">
        <v>22</v>
      </c>
      <c r="E5" s="19" t="n"/>
      <c r="F5" s="19" t="n"/>
      <c r="G5" s="19" t="n"/>
      <c r="H5" s="19" t="n"/>
      <c r="I5" s="19" t="n"/>
      <c r="J5" s="24">
        <f>IF(COUNT(B5:I5)=0,"",PI()/4*SUMPRODUCT((B5:I5/32)^2))</f>
        <v/>
      </c>
      <c r="K5" s="19" t="n"/>
    </row>
    <row r="6">
      <c r="A6" s="16" t="inlineStr">
        <is>
          <t>Кондуктор 1</t>
        </is>
      </c>
      <c r="B6" s="19" t="n">
        <v>16</v>
      </c>
      <c r="C6" s="19" t="n">
        <v>16</v>
      </c>
      <c r="D6" s="19" t="n">
        <v>16</v>
      </c>
      <c r="E6" s="19" t="n">
        <v>16</v>
      </c>
      <c r="F6" s="19" t="n">
        <v>16</v>
      </c>
      <c r="G6" s="19" t="n">
        <v>16</v>
      </c>
      <c r="H6" s="19" t="n"/>
      <c r="I6" s="19" t="n"/>
      <c r="J6" s="24">
        <f>IF(COUNT(B6:I6)=0,"",PI()/4*SUMPRODUCT((B6:I6/32)^2))</f>
        <v/>
      </c>
      <c r="K6" s="19" t="n"/>
    </row>
    <row r="7">
      <c r="A7" s="16" t="inlineStr">
        <is>
          <t>Кондуктор 2</t>
        </is>
      </c>
      <c r="B7" s="19" t="n">
        <v>16</v>
      </c>
      <c r="C7" s="19" t="n">
        <v>16</v>
      </c>
      <c r="D7" s="19" t="n">
        <v>16</v>
      </c>
      <c r="E7" s="19" t="n">
        <v>16</v>
      </c>
      <c r="F7" s="19" t="n">
        <v>16</v>
      </c>
      <c r="G7" s="19" t="n">
        <v>16</v>
      </c>
      <c r="H7" s="19" t="n"/>
      <c r="I7" s="19" t="n"/>
      <c r="J7" s="24">
        <f>IF(COUNT(B7:I7)=0,"",PI()/4*SUMPRODUCT((B7:I7/32)^2))</f>
        <v/>
      </c>
      <c r="K7" s="19" t="n"/>
    </row>
    <row r="8">
      <c r="A8" s="16" t="inlineStr">
        <is>
          <t>Экс.колонна 1</t>
        </is>
      </c>
      <c r="B8" s="19" t="n">
        <v>14</v>
      </c>
      <c r="C8" s="19" t="n">
        <v>14</v>
      </c>
      <c r="D8" s="19" t="n">
        <v>14</v>
      </c>
      <c r="E8" s="19" t="n">
        <v>14</v>
      </c>
      <c r="F8" s="19" t="n">
        <v>14</v>
      </c>
      <c r="G8" s="19" t="n">
        <v>14</v>
      </c>
      <c r="H8" s="19" t="n"/>
      <c r="I8" s="19" t="n"/>
      <c r="J8" s="24">
        <f>IF(COUNT(B8:I8)=0,"",PI()/4*SUMPRODUCT((B8:I8/32)^2))</f>
        <v/>
      </c>
      <c r="K8" s="19" t="n"/>
    </row>
    <row r="9">
      <c r="A9" s="16" t="inlineStr">
        <is>
          <t>Экс.колонна 2</t>
        </is>
      </c>
      <c r="B9" s="19" t="n">
        <v>14</v>
      </c>
      <c r="C9" s="19" t="n">
        <v>14</v>
      </c>
      <c r="D9" s="19" t="n">
        <v>14</v>
      </c>
      <c r="E9" s="19" t="n">
        <v>14</v>
      </c>
      <c r="F9" s="19" t="n">
        <v>14</v>
      </c>
      <c r="G9" s="19" t="n">
        <v>14</v>
      </c>
      <c r="H9" s="19" t="n"/>
      <c r="I9" s="19" t="n"/>
      <c r="J9" s="24">
        <f>IF(COUNT(B9:I9)=0,"",PI()/4*SUMPRODUCT((B9:I9/32)^2))</f>
        <v/>
      </c>
      <c r="K9" s="19" t="n"/>
    </row>
    <row r="10">
      <c r="A10" s="16" t="inlineStr">
        <is>
          <t>Экс.колонна 3</t>
        </is>
      </c>
      <c r="B10" s="19" t="n">
        <v>14</v>
      </c>
      <c r="C10" s="19" t="n">
        <v>14</v>
      </c>
      <c r="D10" s="19" t="n">
        <v>14</v>
      </c>
      <c r="E10" s="19" t="n">
        <v>14</v>
      </c>
      <c r="F10" s="19" t="n">
        <v>14</v>
      </c>
      <c r="G10" s="19" t="n">
        <v>14</v>
      </c>
      <c r="H10" s="19" t="n"/>
      <c r="I10" s="19" t="n"/>
      <c r="J10" s="24">
        <f>IF(COUNT(B10:I10)=0,"",PI()/4*SUMPRODUCT((B10:I10/32)^2))</f>
        <v/>
      </c>
      <c r="K10" s="19" t="n"/>
    </row>
    <row r="11">
      <c r="A11" s="16" t="inlineStr">
        <is>
          <t>Хвостовик</t>
        </is>
      </c>
      <c r="B11" s="19" t="n">
        <v>11</v>
      </c>
      <c r="C11" s="19" t="n">
        <v>11</v>
      </c>
      <c r="D11" s="19" t="n">
        <v>11</v>
      </c>
      <c r="E11" s="19" t="n">
        <v>11</v>
      </c>
      <c r="F11" s="19" t="n">
        <v>11</v>
      </c>
      <c r="G11" s="19" t="n"/>
      <c r="H11" s="19" t="n"/>
      <c r="I11" s="19" t="n"/>
      <c r="J11" s="24">
        <f>IF(COUNT(B11:I11)=0,"",PI()/4*SUMPRODUCT((B11:I11/32)^2))</f>
        <v/>
      </c>
      <c r="K11" s="19" t="n"/>
    </row>
    <row r="13">
      <c r="A13" s="20" t="inlineStr">
        <is>
          <t>ПРИМЕР →</t>
        </is>
      </c>
      <c r="B13" s="21" t="n">
        <v>16</v>
      </c>
      <c r="C13" s="21" t="n">
        <v>16</v>
      </c>
      <c r="D13" s="21" t="n">
        <v>16</v>
      </c>
      <c r="E13" s="21" t="n">
        <v>16</v>
      </c>
      <c r="F13" s="21" t="n">
        <v>16</v>
      </c>
      <c r="G13" s="21" t="n">
        <v>16</v>
      </c>
      <c r="H13" s="21" t="n"/>
      <c r="I13" s="21" t="n"/>
      <c r="J13" s="21" t="n"/>
      <c r="K13" s="21" t="inlineStr">
        <is>
          <t>6 насадок 16/32"</t>
        </is>
      </c>
    </row>
  </sheetData>
  <mergeCells count="1">
    <mergeCell ref="A2:K2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8" customWidth="1" min="8" max="8"/>
    <col width="13" customWidth="1" min="9" max="9"/>
    <col width="14" customWidth="1" min="10" max="10"/>
    <col width="14" customWidth="1" min="11" max="11"/>
  </cols>
  <sheetData>
    <row r="1">
      <c r="A1" s="4" t="inlineStr">
        <is>
          <t>ЗАБОЙНЫЕ ДВИГАТЕЛИ</t>
        </is>
      </c>
    </row>
    <row r="2" ht="30" customHeight="1">
      <c r="A2" s="3" t="inlineStr">
        <is>
          <t>Если на интервале двигатель не применяется - напишите  нет . Если паспорт пока не найден - напишите  н/д 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36" customHeight="1">
      <c r="A4" s="15" t="inlineStr">
        <is>
          <t>Интервал</t>
        </is>
      </c>
      <c r="B4" s="15" t="inlineStr">
        <is>
          <t>Типоразмер</t>
        </is>
      </c>
      <c r="C4" s="15" t="inlineStr">
        <is>
          <t>Ø наружный, мм</t>
        </is>
      </c>
      <c r="D4" s="15" t="inlineStr">
        <is>
          <t>Ø проходной, мм</t>
        </is>
      </c>
      <c r="E4" s="15" t="inlineStr">
        <is>
          <t>Расход min, л/с</t>
        </is>
      </c>
      <c r="F4" s="15" t="inlineStr">
        <is>
          <t>Расход max, л/с</t>
        </is>
      </c>
      <c r="G4" s="15" t="inlineStr">
        <is>
          <t>Перепад х.х., атм</t>
        </is>
      </c>
      <c r="H4" s="15" t="inlineStr">
        <is>
          <t>Перепад под нагрузкой, атм</t>
        </is>
      </c>
      <c r="I4" s="15" t="inlineStr">
        <is>
          <t>Момент, кН·м</t>
        </is>
      </c>
      <c r="J4" s="15" t="inlineStr">
        <is>
          <t>Обороты, об/мин</t>
        </is>
      </c>
      <c r="K4" s="15" t="inlineStr">
        <is>
          <t>Угол перекоса, град</t>
        </is>
      </c>
    </row>
    <row r="5">
      <c r="A5" s="16" t="inlineStr">
        <is>
          <t>Направление</t>
        </is>
      </c>
      <c r="B5" s="19" t="inlineStr">
        <is>
          <t>нет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</row>
    <row r="6">
      <c r="A6" s="16" t="inlineStr">
        <is>
          <t>Кондуктор 1</t>
        </is>
      </c>
      <c r="B6" s="19" t="inlineStr">
        <is>
          <t>ДРУ-240</t>
        </is>
      </c>
      <c r="C6" s="19" t="n">
        <v>240</v>
      </c>
      <c r="D6" s="19" t="n">
        <v>90</v>
      </c>
      <c r="E6" s="19" t="n">
        <v>50</v>
      </c>
      <c r="F6" s="19" t="n">
        <v>55</v>
      </c>
      <c r="G6" s="19" t="n">
        <v>17</v>
      </c>
      <c r="H6" s="19" t="n">
        <v>44</v>
      </c>
      <c r="I6" s="19" t="n">
        <v>12</v>
      </c>
      <c r="J6" s="19" t="n">
        <v>130</v>
      </c>
      <c r="K6" s="19" t="n">
        <v>1.5</v>
      </c>
    </row>
    <row r="7">
      <c r="A7" s="16" t="inlineStr">
        <is>
          <t>Кондуктор 2</t>
        </is>
      </c>
      <c r="B7" s="19" t="inlineStr">
        <is>
          <t>ДРУ-240</t>
        </is>
      </c>
      <c r="C7" s="19" t="n">
        <v>240</v>
      </c>
      <c r="D7" s="19" t="n">
        <v>90</v>
      </c>
      <c r="E7" s="19" t="n">
        <v>50</v>
      </c>
      <c r="F7" s="19" t="n">
        <v>55</v>
      </c>
      <c r="G7" s="19" t="n">
        <v>17</v>
      </c>
      <c r="H7" s="19" t="n">
        <v>44</v>
      </c>
      <c r="I7" s="19" t="n">
        <v>12</v>
      </c>
      <c r="J7" s="19" t="n">
        <v>130</v>
      </c>
      <c r="K7" s="19" t="n">
        <v>1.5</v>
      </c>
    </row>
    <row r="8">
      <c r="A8" s="16" t="inlineStr">
        <is>
          <t>Экс.колонна 1</t>
        </is>
      </c>
      <c r="B8" s="19" t="inlineStr">
        <is>
          <t>ДРУ-178</t>
        </is>
      </c>
      <c r="C8" s="19" t="n">
        <v>178</v>
      </c>
      <c r="D8" s="19" t="n">
        <v>76</v>
      </c>
      <c r="E8" s="19" t="n">
        <v>32</v>
      </c>
      <c r="F8" s="19" t="n">
        <v>38</v>
      </c>
      <c r="G8" s="19" t="n">
        <v>21</v>
      </c>
      <c r="H8" s="19" t="n">
        <v>53</v>
      </c>
      <c r="I8" s="19" t="n">
        <v>8.5</v>
      </c>
      <c r="J8" s="19" t="n">
        <v>150</v>
      </c>
      <c r="K8" s="19" t="n">
        <v>1.5</v>
      </c>
    </row>
    <row r="9">
      <c r="A9" s="16" t="inlineStr">
        <is>
          <t>Экс.колонна 2</t>
        </is>
      </c>
      <c r="B9" s="19" t="inlineStr">
        <is>
          <t>ДРУ-178</t>
        </is>
      </c>
      <c r="C9" s="19" t="n">
        <v>178</v>
      </c>
      <c r="D9" s="19" t="n">
        <v>76</v>
      </c>
      <c r="E9" s="19" t="n">
        <v>28</v>
      </c>
      <c r="F9" s="19" t="n">
        <v>32</v>
      </c>
      <c r="G9" s="19" t="n">
        <v>21</v>
      </c>
      <c r="H9" s="19" t="n">
        <v>41</v>
      </c>
      <c r="I9" s="19" t="n">
        <v>8.5</v>
      </c>
      <c r="J9" s="19" t="n">
        <v>150</v>
      </c>
      <c r="K9" s="19" t="n">
        <v>1.5</v>
      </c>
    </row>
    <row r="10">
      <c r="A10" s="16" t="inlineStr">
        <is>
          <t>Экс.колонна 3</t>
        </is>
      </c>
      <c r="B10" s="19" t="inlineStr">
        <is>
          <t>ДРУ-178</t>
        </is>
      </c>
      <c r="C10" s="19" t="n">
        <v>178</v>
      </c>
      <c r="D10" s="19" t="n">
        <v>76</v>
      </c>
      <c r="E10" s="19" t="n">
        <v>32</v>
      </c>
      <c r="F10" s="19" t="n">
        <v>38</v>
      </c>
      <c r="G10" s="19" t="n">
        <v>21</v>
      </c>
      <c r="H10" s="19" t="n">
        <v>53</v>
      </c>
      <c r="I10" s="19" t="n">
        <v>8.5</v>
      </c>
      <c r="J10" s="19" t="n">
        <v>150</v>
      </c>
      <c r="K10" s="19" t="n">
        <v>1.5</v>
      </c>
    </row>
    <row r="11">
      <c r="A11" s="16" t="inlineStr">
        <is>
          <t>Хвостовик</t>
        </is>
      </c>
      <c r="B11" s="19" t="inlineStr">
        <is>
          <t>ДРУ-127</t>
        </is>
      </c>
      <c r="C11" s="19" t="n">
        <v>127</v>
      </c>
      <c r="D11" s="19" t="n">
        <v>57</v>
      </c>
      <c r="E11" s="19" t="n">
        <v>14</v>
      </c>
      <c r="F11" s="19" t="n">
        <v>18</v>
      </c>
      <c r="G11" s="19" t="n">
        <v>24</v>
      </c>
      <c r="H11" s="19" t="n">
        <v>39</v>
      </c>
      <c r="I11" s="19" t="n">
        <v>4.2</v>
      </c>
      <c r="J11" s="19" t="n">
        <v>180</v>
      </c>
      <c r="K11" s="19" t="n">
        <v>1.5</v>
      </c>
    </row>
    <row r="13">
      <c r="A13" s="20" t="inlineStr">
        <is>
          <t>ПРИМЕР →</t>
        </is>
      </c>
      <c r="B13" s="21" t="inlineStr">
        <is>
          <t>ДРУ-240.7/8.49</t>
        </is>
      </c>
      <c r="C13" s="21" t="n">
        <v>240</v>
      </c>
      <c r="D13" s="21" t="n">
        <v>90</v>
      </c>
      <c r="E13" s="21" t="n">
        <v>50</v>
      </c>
      <c r="F13" s="21" t="n">
        <v>55</v>
      </c>
      <c r="G13" s="21" t="n">
        <v>17</v>
      </c>
      <c r="H13" s="21" t="n">
        <v>44</v>
      </c>
      <c r="I13" s="21" t="n">
        <v>12.5</v>
      </c>
      <c r="J13" s="21" t="n">
        <v>130</v>
      </c>
      <c r="K13" s="21" t="n">
        <v>1.5</v>
      </c>
    </row>
  </sheetData>
  <mergeCells count="1">
    <mergeCell ref="A2:K2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5" customWidth="1" min="3" max="3"/>
    <col width="15" customWidth="1" min="4" max="4"/>
    <col width="13" customWidth="1" min="5" max="5"/>
    <col width="18" customWidth="1" min="6" max="6"/>
    <col width="18" customWidth="1" min="7" max="7"/>
    <col width="28" customWidth="1" min="8" max="8"/>
  </cols>
  <sheetData>
    <row r="1">
      <c r="A1" s="4" t="inlineStr">
        <is>
          <t>ТЕЛЕСИСТЕМА (MWD / LWD)</t>
        </is>
      </c>
    </row>
    <row r="2" ht="30" customHeight="1">
      <c r="A2" s="3" t="inlineStr">
        <is>
          <t>Перепад давления указывается при том расходе, который стоит в соседнем столбце. Если телесистема не применяется - напишите  нет 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</row>
    <row r="4" ht="36" customHeight="1">
      <c r="A4" s="15" t="inlineStr">
        <is>
          <t>Интервал</t>
        </is>
      </c>
      <c r="B4" s="15" t="inlineStr">
        <is>
          <t>Тип / модель</t>
        </is>
      </c>
      <c r="C4" s="15" t="inlineStr">
        <is>
          <t>Ø наружный, мм</t>
        </is>
      </c>
      <c r="D4" s="15" t="inlineStr">
        <is>
          <t>Ø внутренний, мм</t>
        </is>
      </c>
      <c r="E4" s="15" t="inlineStr">
        <is>
          <t>Расход, л/с</t>
        </is>
      </c>
      <c r="F4" s="15" t="inlineStr">
        <is>
          <t>Перепад давления, атм</t>
        </is>
      </c>
      <c r="G4" s="15" t="inlineStr">
        <is>
          <t>Канал связи</t>
        </is>
      </c>
      <c r="H4" s="15" t="inlineStr">
        <is>
          <t>Примечание</t>
        </is>
      </c>
    </row>
    <row r="5">
      <c r="A5" s="16" t="inlineStr">
        <is>
          <t>Направление</t>
        </is>
      </c>
      <c r="B5" s="19" t="inlineStr">
        <is>
          <t>нет</t>
        </is>
      </c>
      <c r="C5" s="19" t="n"/>
      <c r="D5" s="19" t="n"/>
      <c r="E5" s="19" t="n"/>
      <c r="F5" s="19" t="n"/>
      <c r="G5" s="19" t="n"/>
      <c r="H5" s="19" t="n"/>
    </row>
    <row r="6">
      <c r="A6" s="16" t="inlineStr">
        <is>
          <t>Кондуктор 1</t>
        </is>
      </c>
      <c r="B6" s="19" t="inlineStr">
        <is>
          <t>нет</t>
        </is>
      </c>
      <c r="C6" s="19" t="n"/>
      <c r="D6" s="19" t="n"/>
      <c r="E6" s="19" t="n"/>
      <c r="F6" s="19" t="n"/>
      <c r="G6" s="19" t="n"/>
      <c r="H6" s="19" t="n"/>
    </row>
    <row r="7">
      <c r="A7" s="16" t="inlineStr">
        <is>
          <t>Кондуктор 2</t>
        </is>
      </c>
      <c r="B7" s="19" t="inlineStr">
        <is>
          <t>MWD</t>
        </is>
      </c>
      <c r="C7" s="19" t="n">
        <v>203</v>
      </c>
      <c r="D7" s="19" t="n">
        <v>82.59999999999999</v>
      </c>
      <c r="E7" s="19" t="n">
        <v>55</v>
      </c>
      <c r="F7" s="19" t="n">
        <v>12</v>
      </c>
      <c r="G7" s="19" t="inlineStr">
        <is>
          <t>гидравлический</t>
        </is>
      </c>
      <c r="H7" s="19" t="inlineStr"/>
    </row>
    <row r="8">
      <c r="A8" s="16" t="inlineStr">
        <is>
          <t>Экс.колонна 1</t>
        </is>
      </c>
      <c r="B8" s="19" t="inlineStr">
        <is>
          <t>MWD/LWD</t>
        </is>
      </c>
      <c r="C8" s="19" t="n">
        <v>172</v>
      </c>
      <c r="D8" s="19" t="n">
        <v>74</v>
      </c>
      <c r="E8" s="19" t="n">
        <v>38</v>
      </c>
      <c r="F8" s="19" t="n">
        <v>15</v>
      </c>
      <c r="G8" s="19" t="inlineStr">
        <is>
          <t>гидравлический</t>
        </is>
      </c>
      <c r="H8" s="19" t="inlineStr"/>
    </row>
    <row r="9">
      <c r="A9" s="16" t="inlineStr">
        <is>
          <t>Экс.колонна 2</t>
        </is>
      </c>
      <c r="B9" s="19" t="inlineStr">
        <is>
          <t>MWD/LWD</t>
        </is>
      </c>
      <c r="C9" s="19" t="n">
        <v>172</v>
      </c>
      <c r="D9" s="19" t="n">
        <v>74</v>
      </c>
      <c r="E9" s="19" t="n">
        <v>30</v>
      </c>
      <c r="F9" s="19" t="n">
        <v>10</v>
      </c>
      <c r="G9" s="19" t="inlineStr">
        <is>
          <t>гидравлический</t>
        </is>
      </c>
      <c r="H9" s="19" t="inlineStr"/>
    </row>
    <row r="10">
      <c r="A10" s="16" t="inlineStr">
        <is>
          <t>Экс.колонна 3</t>
        </is>
      </c>
      <c r="B10" s="19" t="inlineStr">
        <is>
          <t>MWD/LWD</t>
        </is>
      </c>
      <c r="C10" s="19" t="n">
        <v>172</v>
      </c>
      <c r="D10" s="19" t="n">
        <v>74</v>
      </c>
      <c r="E10" s="19" t="n">
        <v>38</v>
      </c>
      <c r="F10" s="19" t="n">
        <v>15</v>
      </c>
      <c r="G10" s="19" t="inlineStr">
        <is>
          <t>гидравлический</t>
        </is>
      </c>
      <c r="H10" s="19" t="inlineStr"/>
    </row>
    <row r="11">
      <c r="A11" s="16" t="inlineStr">
        <is>
          <t>Хвостовик</t>
        </is>
      </c>
      <c r="B11" s="19" t="inlineStr">
        <is>
          <t>MWD</t>
        </is>
      </c>
      <c r="C11" s="19" t="n">
        <v>121</v>
      </c>
      <c r="D11" s="19" t="n">
        <v>54</v>
      </c>
      <c r="E11" s="19" t="n">
        <v>18</v>
      </c>
      <c r="F11" s="19" t="n">
        <v>9</v>
      </c>
      <c r="G11" s="19" t="inlineStr">
        <is>
          <t>гидравлический</t>
        </is>
      </c>
      <c r="H11" s="19" t="inlineStr"/>
    </row>
    <row r="13">
      <c r="A13" s="20" t="inlineStr">
        <is>
          <t>ПРИМЕР →</t>
        </is>
      </c>
      <c r="B13" s="21" t="inlineStr">
        <is>
          <t>MWD PowerPulse</t>
        </is>
      </c>
      <c r="C13" s="21" t="n">
        <v>203</v>
      </c>
      <c r="D13" s="21" t="n">
        <v>82.59999999999999</v>
      </c>
      <c r="E13" s="21" t="n">
        <v>55</v>
      </c>
      <c r="F13" s="21" t="n">
        <v>12</v>
      </c>
      <c r="G13" s="21" t="inlineStr">
        <is>
          <t>гидравлический</t>
        </is>
      </c>
      <c r="H13" s="21" t="inlineStr"/>
    </row>
  </sheetData>
  <mergeCells count="1">
    <mergeCell ref="A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3" customWidth="1" min="3" max="3"/>
    <col width="16" customWidth="1" min="4" max="4"/>
    <col width="17" customWidth="1" min="5" max="5"/>
    <col width="30" customWidth="1" min="6" max="6"/>
  </cols>
  <sheetData>
    <row r="1">
      <c r="A1" s="4" t="inlineStr">
        <is>
          <t>КОМПОНОВКИ НИЗА БУРИЛЬНОЙ КОЛОННЫ</t>
        </is>
      </c>
    </row>
    <row r="2" ht="30" customHeight="1">
      <c r="A2" s="3" t="inlineStr">
        <is>
          <t>Все компоновки в одной таблице. Для каждого интервала элементы перечисляются СНИЗУ ВВЕРХ: первая строка - долото, дальше вверх к устью. Название интервала пишется только в первой строке компоновки, ниже можно не повторять. Между компоновками оставьте пустую строку.</t>
        </is>
      </c>
    </row>
    <row r="3" ht="4" customHeight="1">
      <c r="A3" s="14" t="n"/>
      <c r="B3" s="14" t="n"/>
      <c r="C3" s="14" t="n"/>
      <c r="D3" s="14" t="n"/>
      <c r="E3" s="14" t="n"/>
      <c r="F3" s="14" t="n"/>
    </row>
    <row r="4" ht="36" customHeight="1">
      <c r="A4" s="15" t="inlineStr">
        <is>
          <t>Интервал</t>
        </is>
      </c>
      <c r="B4" s="15" t="inlineStr">
        <is>
          <t>Наименование элемента</t>
        </is>
      </c>
      <c r="C4" s="15" t="inlineStr">
        <is>
          <t>Длина, м</t>
        </is>
      </c>
      <c r="D4" s="15" t="inlineStr">
        <is>
          <t>Ø наружный, мм</t>
        </is>
      </c>
      <c r="E4" s="15" t="inlineStr">
        <is>
          <t>Ø внутренний, мм</t>
        </is>
      </c>
      <c r="F4" s="15" t="inlineStr">
        <is>
          <t>Примечание</t>
        </is>
      </c>
    </row>
    <row r="5">
      <c r="A5" s="19" t="inlineStr">
        <is>
          <t>Направление</t>
        </is>
      </c>
      <c r="B5" s="19" t="inlineStr">
        <is>
          <t>Долото</t>
        </is>
      </c>
      <c r="C5" s="19" t="n">
        <v>0.4</v>
      </c>
      <c r="D5" s="19" t="n">
        <v>393.7</v>
      </c>
      <c r="E5" s="19" t="n"/>
      <c r="F5" s="19" t="n"/>
    </row>
    <row r="6">
      <c r="A6" s="19" t="n"/>
      <c r="B6" s="19" t="inlineStr">
        <is>
          <t>Переводник</t>
        </is>
      </c>
      <c r="C6" s="19" t="n">
        <v>0.41</v>
      </c>
      <c r="D6" s="19" t="n">
        <v>203</v>
      </c>
      <c r="E6" s="19" t="n">
        <v>95</v>
      </c>
      <c r="F6" s="19" t="n"/>
    </row>
    <row r="7">
      <c r="A7" s="19" t="n"/>
      <c r="B7" s="19" t="inlineStr">
        <is>
          <t>Переводник</t>
        </is>
      </c>
      <c r="C7" s="19" t="n">
        <v>0.41</v>
      </c>
      <c r="D7" s="19" t="n">
        <v>229</v>
      </c>
      <c r="E7" s="19" t="n">
        <v>102</v>
      </c>
      <c r="F7" s="19" t="n"/>
    </row>
    <row r="8">
      <c r="A8" s="19" t="n"/>
      <c r="B8" s="19" t="inlineStr">
        <is>
          <t>Калибратор</t>
        </is>
      </c>
      <c r="C8" s="19" t="n">
        <v>1.72</v>
      </c>
      <c r="D8" s="19" t="n">
        <v>387</v>
      </c>
      <c r="E8" s="19" t="n">
        <v>71</v>
      </c>
      <c r="F8" s="19" t="n"/>
    </row>
    <row r="9">
      <c r="A9" s="19" t="n"/>
      <c r="B9" s="19" t="inlineStr">
        <is>
          <t>Переводник</t>
        </is>
      </c>
      <c r="C9" s="19" t="n">
        <v>0.4</v>
      </c>
      <c r="D9" s="19" t="n">
        <v>229</v>
      </c>
      <c r="E9" s="19" t="n">
        <v>90</v>
      </c>
      <c r="F9" s="19" t="n"/>
    </row>
    <row r="10">
      <c r="A10" s="19" t="n"/>
      <c r="B10" s="25" t="inlineStr">
        <is>
          <t>УБТС</t>
        </is>
      </c>
      <c r="C10" s="19" t="n">
        <v>18.79</v>
      </c>
      <c r="D10" s="19" t="n">
        <v>203</v>
      </c>
      <c r="E10" s="19" t="n">
        <v>80</v>
      </c>
      <c r="F10" s="19" t="n"/>
    </row>
    <row r="11">
      <c r="A11" s="19" t="n"/>
      <c r="B11" s="19" t="inlineStr">
        <is>
          <t>Переводник</t>
        </is>
      </c>
      <c r="C11" s="19" t="n">
        <v>0.35</v>
      </c>
      <c r="D11" s="19" t="n">
        <v>203</v>
      </c>
      <c r="E11" s="19" t="n">
        <v>95</v>
      </c>
      <c r="F11" s="19" t="n"/>
    </row>
    <row r="12">
      <c r="A12" s="19" t="n"/>
      <c r="B12" s="19" t="inlineStr">
        <is>
          <t>УБТС</t>
        </is>
      </c>
      <c r="C12" s="19" t="n">
        <v>17.52</v>
      </c>
      <c r="D12" s="19" t="n">
        <v>177.8</v>
      </c>
      <c r="E12" s="19" t="n">
        <v>71.40000000000001</v>
      </c>
      <c r="F12" s="19" t="n"/>
    </row>
    <row r="13">
      <c r="A13" s="19" t="n"/>
      <c r="B13" s="19" t="n"/>
      <c r="C13" s="19" t="n"/>
      <c r="D13" s="19" t="n"/>
      <c r="E13" s="19" t="n"/>
      <c r="F13" s="19" t="n"/>
    </row>
    <row r="14">
      <c r="A14" s="19" t="inlineStr">
        <is>
          <t>Кондуктор 1</t>
        </is>
      </c>
      <c r="B14" s="19" t="inlineStr">
        <is>
          <t>Долото</t>
        </is>
      </c>
      <c r="C14" s="19" t="n">
        <v>0.28</v>
      </c>
      <c r="D14" s="19" t="n">
        <v>295.3</v>
      </c>
      <c r="E14" s="19" t="n"/>
      <c r="F14" s="19" t="n"/>
    </row>
    <row r="15">
      <c r="A15" s="19" t="n"/>
      <c r="B15" s="19" t="inlineStr">
        <is>
          <t>ВЗД</t>
        </is>
      </c>
      <c r="C15" s="19" t="n">
        <v>9.65</v>
      </c>
      <c r="D15" s="19" t="n">
        <v>235</v>
      </c>
      <c r="E15" s="19" t="n"/>
      <c r="F15" s="19" t="n"/>
    </row>
    <row r="16">
      <c r="A16" s="19" t="n"/>
      <c r="B16" s="19" t="inlineStr">
        <is>
          <t>Обратный клапан</t>
        </is>
      </c>
      <c r="C16" s="19" t="n">
        <v>0.79</v>
      </c>
      <c r="D16" s="19" t="n">
        <v>203</v>
      </c>
      <c r="E16" s="19" t="n">
        <v>71.40000000000001</v>
      </c>
      <c r="F16" s="19" t="n"/>
    </row>
    <row r="17">
      <c r="A17" s="19" t="n"/>
      <c r="B17" s="19" t="inlineStr">
        <is>
          <t>Амортизатор</t>
        </is>
      </c>
      <c r="C17" s="19" t="n">
        <v>3.51</v>
      </c>
      <c r="D17" s="19" t="n">
        <v>207</v>
      </c>
      <c r="E17" s="19" t="n">
        <v>70</v>
      </c>
      <c r="F17" s="19" t="n"/>
    </row>
    <row r="18">
      <c r="A18" s="19" t="n"/>
      <c r="B18" s="19" t="inlineStr">
        <is>
          <t>Калибратор</t>
        </is>
      </c>
      <c r="C18" s="19" t="n">
        <v>1.32</v>
      </c>
      <c r="D18" s="19" t="n">
        <v>285</v>
      </c>
      <c r="E18" s="19" t="n">
        <v>71</v>
      </c>
      <c r="F18" s="19" t="n"/>
    </row>
    <row r="19">
      <c r="A19" s="19" t="n"/>
      <c r="B19" s="19" t="inlineStr">
        <is>
          <t>Циркуляционный переводник</t>
        </is>
      </c>
      <c r="C19" s="19" t="n">
        <v>1.75</v>
      </c>
      <c r="D19" s="19" t="n">
        <v>210</v>
      </c>
      <c r="E19" s="19" t="n">
        <v>71.09999999999999</v>
      </c>
      <c r="F19" s="19" t="n"/>
    </row>
    <row r="20">
      <c r="A20" s="19" t="n"/>
      <c r="B20" s="19" t="inlineStr">
        <is>
          <t>Переводник</t>
        </is>
      </c>
      <c r="C20" s="19" t="n">
        <v>0.41</v>
      </c>
      <c r="D20" s="19" t="n">
        <v>203</v>
      </c>
      <c r="E20" s="19" t="n">
        <v>89</v>
      </c>
      <c r="F20" s="19" t="n"/>
    </row>
    <row r="21">
      <c r="A21" s="19" t="n"/>
      <c r="B21" s="19" t="inlineStr">
        <is>
          <t>УБТС</t>
        </is>
      </c>
      <c r="C21" s="19" t="n">
        <v>18.79</v>
      </c>
      <c r="D21" s="19" t="n">
        <v>203</v>
      </c>
      <c r="E21" s="19" t="n">
        <v>80</v>
      </c>
      <c r="F21" s="19" t="n"/>
    </row>
    <row r="22">
      <c r="A22" s="19" t="n"/>
      <c r="B22" s="19" t="inlineStr">
        <is>
          <t>Переводник</t>
        </is>
      </c>
      <c r="C22" s="19" t="n">
        <v>0.45</v>
      </c>
      <c r="D22" s="19" t="n">
        <v>203</v>
      </c>
      <c r="E22" s="19" t="n">
        <v>83</v>
      </c>
      <c r="F22" s="19" t="n"/>
    </row>
    <row r="23">
      <c r="A23" s="19" t="n"/>
      <c r="B23" s="19" t="inlineStr">
        <is>
          <t>УБТС</t>
        </is>
      </c>
      <c r="C23" s="19" t="n">
        <v>27.86</v>
      </c>
      <c r="D23" s="19" t="n">
        <v>177.8</v>
      </c>
      <c r="E23" s="19" t="n">
        <v>71.40000000000001</v>
      </c>
      <c r="F23" s="19" t="n"/>
    </row>
    <row r="24">
      <c r="A24" s="19" t="n"/>
      <c r="B24" s="19" t="inlineStr">
        <is>
          <t>ТБТ</t>
        </is>
      </c>
      <c r="C24" s="19" t="n">
        <v>45.29</v>
      </c>
      <c r="D24" s="19" t="n">
        <v>127</v>
      </c>
      <c r="E24" s="19" t="n">
        <v>76.2</v>
      </c>
      <c r="F24" s="19" t="n"/>
    </row>
    <row r="25">
      <c r="A25" s="19" t="n"/>
      <c r="B25" s="19" t="n"/>
      <c r="C25" s="19" t="n"/>
      <c r="D25" s="19" t="n"/>
      <c r="E25" s="19" t="n"/>
      <c r="F25" s="19" t="n"/>
    </row>
    <row r="26">
      <c r="A26" s="19" t="inlineStr">
        <is>
          <t>Кондуктор 2</t>
        </is>
      </c>
      <c r="B26" s="19" t="inlineStr">
        <is>
          <t>Долото</t>
        </is>
      </c>
      <c r="C26" s="19" t="n">
        <v>0.28</v>
      </c>
      <c r="D26" s="19" t="n">
        <v>295.3</v>
      </c>
      <c r="E26" s="19" t="n"/>
      <c r="F26" s="19" t="n"/>
    </row>
    <row r="27">
      <c r="A27" s="19" t="n"/>
      <c r="B27" s="19" t="inlineStr">
        <is>
          <t>ВЗД</t>
        </is>
      </c>
      <c r="C27" s="19" t="n">
        <v>9.65</v>
      </c>
      <c r="D27" s="19" t="n">
        <v>235</v>
      </c>
      <c r="E27" s="19" t="n"/>
      <c r="F27" s="19" t="n"/>
    </row>
    <row r="28">
      <c r="A28" s="19" t="n"/>
      <c r="B28" s="19" t="inlineStr">
        <is>
          <t>Обратный клапан</t>
        </is>
      </c>
      <c r="C28" s="19" t="n">
        <v>0.79</v>
      </c>
      <c r="D28" s="19" t="n">
        <v>203</v>
      </c>
      <c r="E28" s="19" t="n">
        <v>71.40000000000001</v>
      </c>
      <c r="F28" s="19" t="n"/>
    </row>
    <row r="29">
      <c r="A29" s="19" t="n"/>
      <c r="B29" s="19" t="inlineStr">
        <is>
          <t>Амортизатор</t>
        </is>
      </c>
      <c r="C29" s="19" t="n">
        <v>3.51</v>
      </c>
      <c r="D29" s="19" t="n">
        <v>207</v>
      </c>
      <c r="E29" s="19" t="n">
        <v>70</v>
      </c>
      <c r="F29" s="19" t="n"/>
    </row>
    <row r="30">
      <c r="A30" s="19" t="n"/>
      <c r="B30" s="19" t="inlineStr">
        <is>
          <t>Калибратор</t>
        </is>
      </c>
      <c r="C30" s="19" t="n">
        <v>1.32</v>
      </c>
      <c r="D30" s="19" t="n">
        <v>285</v>
      </c>
      <c r="E30" s="19" t="n">
        <v>71</v>
      </c>
      <c r="F30" s="19" t="n"/>
    </row>
    <row r="31">
      <c r="A31" s="19" t="n"/>
      <c r="B31" s="19" t="inlineStr">
        <is>
          <t>Переводник</t>
        </is>
      </c>
      <c r="C31" s="19" t="n">
        <v>0.38</v>
      </c>
      <c r="D31" s="19" t="n">
        <v>203</v>
      </c>
      <c r="E31" s="19" t="n">
        <v>82</v>
      </c>
      <c r="F31" s="19" t="n"/>
    </row>
    <row r="32">
      <c r="A32" s="19" t="n"/>
      <c r="B32" s="19" t="inlineStr">
        <is>
          <t>MWD</t>
        </is>
      </c>
      <c r="C32" s="19" t="n">
        <v>11.37</v>
      </c>
      <c r="D32" s="19" t="n">
        <v>203</v>
      </c>
      <c r="E32" s="19" t="n">
        <v>82.59999999999999</v>
      </c>
      <c r="F32" s="19" t="n"/>
    </row>
    <row r="33">
      <c r="A33" s="19" t="n"/>
      <c r="B33" s="19" t="inlineStr">
        <is>
          <t>НУБТ</t>
        </is>
      </c>
      <c r="C33" s="19" t="n">
        <v>9.460000000000001</v>
      </c>
      <c r="D33" s="19" t="n">
        <v>203</v>
      </c>
      <c r="E33" s="19" t="n">
        <v>82.59999999999999</v>
      </c>
      <c r="F33" s="19" t="n"/>
    </row>
    <row r="34">
      <c r="A34" s="19" t="n"/>
      <c r="B34" s="19" t="inlineStr">
        <is>
          <t>Переводник</t>
        </is>
      </c>
      <c r="C34" s="19" t="n">
        <v>0.41</v>
      </c>
      <c r="D34" s="19" t="n">
        <v>203</v>
      </c>
      <c r="E34" s="19" t="n">
        <v>82</v>
      </c>
      <c r="F34" s="19" t="n"/>
    </row>
    <row r="35">
      <c r="A35" s="19" t="n"/>
      <c r="B35" s="19" t="inlineStr">
        <is>
          <t>Циркуляционный переводник</t>
        </is>
      </c>
      <c r="C35" s="19" t="n">
        <v>1.75</v>
      </c>
      <c r="D35" s="19" t="n">
        <v>210</v>
      </c>
      <c r="E35" s="19" t="n">
        <v>71.09999999999999</v>
      </c>
      <c r="F35" s="19" t="n"/>
    </row>
    <row r="36">
      <c r="A36" s="19" t="n"/>
      <c r="B36" s="19" t="inlineStr">
        <is>
          <t>Переводник</t>
        </is>
      </c>
      <c r="C36" s="19" t="n">
        <v>0.41</v>
      </c>
      <c r="D36" s="19" t="n">
        <v>203</v>
      </c>
      <c r="E36" s="19" t="n">
        <v>89</v>
      </c>
      <c r="F36" s="19" t="n"/>
    </row>
    <row r="37">
      <c r="A37" s="19" t="n"/>
      <c r="B37" s="19" t="inlineStr">
        <is>
          <t>УБТС</t>
        </is>
      </c>
      <c r="C37" s="19" t="n">
        <v>18.79</v>
      </c>
      <c r="D37" s="19" t="n">
        <v>203</v>
      </c>
      <c r="E37" s="19" t="n">
        <v>80</v>
      </c>
      <c r="F37" s="19" t="n"/>
    </row>
    <row r="38">
      <c r="A38" s="19" t="n"/>
      <c r="B38" s="19" t="inlineStr">
        <is>
          <t>Переводник</t>
        </is>
      </c>
      <c r="C38" s="19" t="n">
        <v>0.45</v>
      </c>
      <c r="D38" s="19" t="n">
        <v>203</v>
      </c>
      <c r="E38" s="19" t="n">
        <v>83</v>
      </c>
      <c r="F38" s="19" t="n"/>
    </row>
    <row r="39">
      <c r="A39" s="19" t="n"/>
      <c r="B39" s="19" t="inlineStr">
        <is>
          <t>УБТС</t>
        </is>
      </c>
      <c r="C39" s="19" t="n">
        <v>27.86</v>
      </c>
      <c r="D39" s="19" t="n">
        <v>177.8</v>
      </c>
      <c r="E39" s="19" t="n">
        <v>71.40000000000001</v>
      </c>
      <c r="F39" s="19" t="n"/>
    </row>
    <row r="40">
      <c r="A40" s="19" t="n"/>
      <c r="B40" s="19" t="inlineStr">
        <is>
          <t>ТБТ</t>
        </is>
      </c>
      <c r="C40" s="19" t="n">
        <v>18.29</v>
      </c>
      <c r="D40" s="19" t="n">
        <v>127</v>
      </c>
      <c r="E40" s="19" t="n">
        <v>76.2</v>
      </c>
      <c r="F40" s="19" t="n"/>
    </row>
    <row r="41">
      <c r="A41" s="19" t="n"/>
      <c r="B41" s="19" t="inlineStr">
        <is>
          <t>Ясс</t>
        </is>
      </c>
      <c r="C41" s="19" t="n">
        <v>7.31</v>
      </c>
      <c r="D41" s="19" t="n">
        <v>171</v>
      </c>
      <c r="E41" s="19" t="n">
        <v>57</v>
      </c>
      <c r="F41" s="19" t="n"/>
    </row>
    <row r="42">
      <c r="A42" s="19" t="n"/>
      <c r="B42" s="19" t="inlineStr">
        <is>
          <t>ТБТ</t>
        </is>
      </c>
      <c r="C42" s="19" t="n">
        <v>73.16</v>
      </c>
      <c r="D42" s="19" t="n">
        <v>127</v>
      </c>
      <c r="E42" s="19" t="n">
        <v>76.2</v>
      </c>
      <c r="F42" s="19" t="n"/>
    </row>
    <row r="43">
      <c r="A43" s="19" t="n"/>
      <c r="B43" s="19" t="n"/>
      <c r="C43" s="19" t="n"/>
      <c r="D43" s="19" t="n"/>
      <c r="E43" s="19" t="n"/>
      <c r="F43" s="19" t="n"/>
    </row>
    <row r="44">
      <c r="A44" s="19" t="inlineStr">
        <is>
          <t>Экс.колонна 1</t>
        </is>
      </c>
      <c r="B44" s="19" t="inlineStr">
        <is>
          <t>Долото</t>
        </is>
      </c>
      <c r="C44" s="19" t="n">
        <v>0.35</v>
      </c>
      <c r="D44" s="19" t="n">
        <v>219.1</v>
      </c>
      <c r="E44" s="19" t="n"/>
      <c r="F44" s="19" t="n"/>
    </row>
    <row r="45">
      <c r="A45" s="19" t="n"/>
      <c r="B45" s="19" t="inlineStr">
        <is>
          <t>ВЗД</t>
        </is>
      </c>
      <c r="C45" s="19" t="n">
        <v>9.199999999999999</v>
      </c>
      <c r="D45" s="19" t="n">
        <v>178</v>
      </c>
      <c r="E45" s="19" t="n"/>
      <c r="F45" s="19" t="n"/>
    </row>
    <row r="46">
      <c r="A46" s="19" t="n"/>
      <c r="B46" s="19" t="inlineStr">
        <is>
          <t>Обратный клапан</t>
        </is>
      </c>
      <c r="C46" s="19" t="n">
        <v>0.6</v>
      </c>
      <c r="D46" s="19" t="n">
        <v>178</v>
      </c>
      <c r="E46" s="19" t="n">
        <v>71.40000000000001</v>
      </c>
      <c r="F46" s="19" t="n"/>
    </row>
    <row r="47">
      <c r="A47" s="19" t="n"/>
      <c r="B47" s="19" t="inlineStr">
        <is>
          <t>Калибратор</t>
        </is>
      </c>
      <c r="C47" s="19" t="n">
        <v>1.3</v>
      </c>
      <c r="D47" s="19" t="n">
        <v>216</v>
      </c>
      <c r="E47" s="19" t="n">
        <v>71</v>
      </c>
      <c r="F47" s="19" t="n"/>
    </row>
    <row r="48">
      <c r="A48" s="19" t="n"/>
      <c r="B48" s="19" t="inlineStr">
        <is>
          <t>Переводник</t>
        </is>
      </c>
      <c r="C48" s="19" t="n">
        <v>0.4</v>
      </c>
      <c r="D48" s="19" t="n">
        <v>178</v>
      </c>
      <c r="E48" s="19" t="n">
        <v>76</v>
      </c>
      <c r="F48" s="19" t="n"/>
    </row>
    <row r="49">
      <c r="A49" s="19" t="n"/>
      <c r="B49" s="19" t="inlineStr">
        <is>
          <t>MWD/LWD</t>
        </is>
      </c>
      <c r="C49" s="19" t="n">
        <v>10.5</v>
      </c>
      <c r="D49" s="19" t="n">
        <v>172</v>
      </c>
      <c r="E49" s="19" t="n">
        <v>74</v>
      </c>
      <c r="F49" s="19" t="n"/>
    </row>
    <row r="50">
      <c r="A50" s="19" t="n"/>
      <c r="B50" s="19" t="inlineStr">
        <is>
          <t>НУБТ</t>
        </is>
      </c>
      <c r="C50" s="19" t="n">
        <v>9.199999999999999</v>
      </c>
      <c r="D50" s="19" t="n">
        <v>172</v>
      </c>
      <c r="E50" s="19" t="n">
        <v>74</v>
      </c>
      <c r="F50" s="19" t="n"/>
    </row>
    <row r="51">
      <c r="A51" s="19" t="n"/>
      <c r="B51" s="19" t="inlineStr">
        <is>
          <t>Циркуляционный переводник</t>
        </is>
      </c>
      <c r="C51" s="19" t="n">
        <v>1.6</v>
      </c>
      <c r="D51" s="19" t="n">
        <v>178</v>
      </c>
      <c r="E51" s="19" t="n">
        <v>71.09999999999999</v>
      </c>
      <c r="F51" s="19" t="n"/>
    </row>
    <row r="52">
      <c r="A52" s="19" t="n"/>
      <c r="B52" s="19" t="inlineStr">
        <is>
          <t>УБТС</t>
        </is>
      </c>
      <c r="C52" s="19" t="n">
        <v>18.5</v>
      </c>
      <c r="D52" s="19" t="n">
        <v>177.8</v>
      </c>
      <c r="E52" s="19" t="n">
        <v>71.40000000000001</v>
      </c>
      <c r="F52" s="19" t="n"/>
    </row>
    <row r="53">
      <c r="A53" s="19" t="n"/>
      <c r="B53" s="19" t="inlineStr">
        <is>
          <t>Ясс</t>
        </is>
      </c>
      <c r="C53" s="19" t="n">
        <v>7.3</v>
      </c>
      <c r="D53" s="19" t="n">
        <v>171</v>
      </c>
      <c r="E53" s="19" t="n">
        <v>57</v>
      </c>
      <c r="F53" s="19" t="n"/>
    </row>
    <row r="54">
      <c r="A54" s="19" t="n"/>
      <c r="B54" s="19" t="inlineStr">
        <is>
          <t>ТБТ</t>
        </is>
      </c>
      <c r="C54" s="19" t="n">
        <v>73.2</v>
      </c>
      <c r="D54" s="19" t="n">
        <v>127</v>
      </c>
      <c r="E54" s="19" t="n">
        <v>76.2</v>
      </c>
      <c r="F54" s="19" t="n"/>
    </row>
    <row r="55">
      <c r="A55" s="19" t="n"/>
      <c r="B55" s="19" t="n"/>
      <c r="C55" s="19" t="n"/>
      <c r="D55" s="19" t="n"/>
      <c r="E55" s="19" t="n"/>
      <c r="F55" s="19" t="n"/>
    </row>
    <row r="56">
      <c r="A56" s="19" t="inlineStr">
        <is>
          <t>Экс.колонна 2</t>
        </is>
      </c>
      <c r="B56" s="19" t="inlineStr">
        <is>
          <t>Долото</t>
        </is>
      </c>
      <c r="C56" s="19" t="n">
        <v>0.35</v>
      </c>
      <c r="D56" s="19" t="n">
        <v>219.1</v>
      </c>
      <c r="E56" s="19" t="n"/>
      <c r="F56" s="19" t="n"/>
    </row>
    <row r="57">
      <c r="A57" s="19" t="n"/>
      <c r="B57" s="19" t="inlineStr">
        <is>
          <t>ВЗД</t>
        </is>
      </c>
      <c r="C57" s="19" t="n">
        <v>9.199999999999999</v>
      </c>
      <c r="D57" s="19" t="n">
        <v>178</v>
      </c>
      <c r="E57" s="19" t="n"/>
      <c r="F57" s="19" t="n"/>
    </row>
    <row r="58">
      <c r="A58" s="19" t="n"/>
      <c r="B58" s="19" t="inlineStr">
        <is>
          <t>Обратный клапан</t>
        </is>
      </c>
      <c r="C58" s="19" t="n">
        <v>0.6</v>
      </c>
      <c r="D58" s="19" t="n">
        <v>178</v>
      </c>
      <c r="E58" s="19" t="n">
        <v>71.40000000000001</v>
      </c>
      <c r="F58" s="19" t="n"/>
    </row>
    <row r="59">
      <c r="A59" s="19" t="n"/>
      <c r="B59" s="19" t="inlineStr">
        <is>
          <t>Калибратор</t>
        </is>
      </c>
      <c r="C59" s="19" t="n">
        <v>1.3</v>
      </c>
      <c r="D59" s="19" t="n">
        <v>216</v>
      </c>
      <c r="E59" s="19" t="n">
        <v>71</v>
      </c>
      <c r="F59" s="19" t="n"/>
    </row>
    <row r="60">
      <c r="A60" s="19" t="n"/>
      <c r="B60" s="19" t="inlineStr">
        <is>
          <t>Переводник</t>
        </is>
      </c>
      <c r="C60" s="19" t="n">
        <v>0.4</v>
      </c>
      <c r="D60" s="19" t="n">
        <v>178</v>
      </c>
      <c r="E60" s="19" t="n">
        <v>76</v>
      </c>
      <c r="F60" s="19" t="n"/>
    </row>
    <row r="61">
      <c r="A61" s="19" t="n"/>
      <c r="B61" s="19" t="inlineStr">
        <is>
          <t>MWD/LWD</t>
        </is>
      </c>
      <c r="C61" s="19" t="n">
        <v>10.5</v>
      </c>
      <c r="D61" s="19" t="n">
        <v>172</v>
      </c>
      <c r="E61" s="19" t="n">
        <v>74</v>
      </c>
      <c r="F61" s="19" t="n"/>
    </row>
    <row r="62">
      <c r="A62" s="19" t="n"/>
      <c r="B62" s="19" t="inlineStr">
        <is>
          <t>НУБТ</t>
        </is>
      </c>
      <c r="C62" s="19" t="n">
        <v>9.199999999999999</v>
      </c>
      <c r="D62" s="19" t="n">
        <v>172</v>
      </c>
      <c r="E62" s="19" t="n">
        <v>74</v>
      </c>
      <c r="F62" s="19" t="n"/>
    </row>
    <row r="63">
      <c r="A63" s="19" t="n"/>
      <c r="B63" s="19" t="inlineStr">
        <is>
          <t>Циркуляционный переводник</t>
        </is>
      </c>
      <c r="C63" s="19" t="n">
        <v>1.6</v>
      </c>
      <c r="D63" s="19" t="n">
        <v>178</v>
      </c>
      <c r="E63" s="19" t="n">
        <v>71.09999999999999</v>
      </c>
      <c r="F63" s="19" t="n"/>
    </row>
    <row r="64">
      <c r="A64" s="19" t="n"/>
      <c r="B64" s="19" t="inlineStr">
        <is>
          <t>УБТС</t>
        </is>
      </c>
      <c r="C64" s="19" t="n">
        <v>18.5</v>
      </c>
      <c r="D64" s="19" t="n">
        <v>177.8</v>
      </c>
      <c r="E64" s="19" t="n">
        <v>71.40000000000001</v>
      </c>
      <c r="F64" s="19" t="n"/>
    </row>
    <row r="65">
      <c r="A65" s="19" t="n"/>
      <c r="B65" s="19" t="inlineStr">
        <is>
          <t>Ясс</t>
        </is>
      </c>
      <c r="C65" s="19" t="n">
        <v>7.3</v>
      </c>
      <c r="D65" s="19" t="n">
        <v>171</v>
      </c>
      <c r="E65" s="19" t="n">
        <v>57</v>
      </c>
      <c r="F65" s="19" t="n"/>
    </row>
    <row r="66">
      <c r="A66" s="19" t="n"/>
      <c r="B66" s="19" t="inlineStr">
        <is>
          <t>ТБТ</t>
        </is>
      </c>
      <c r="C66" s="19" t="n">
        <v>73.2</v>
      </c>
      <c r="D66" s="19" t="n">
        <v>127</v>
      </c>
      <c r="E66" s="19" t="n">
        <v>76.2</v>
      </c>
      <c r="F66" s="19" t="n"/>
    </row>
    <row r="67">
      <c r="A67" s="19" t="n"/>
      <c r="B67" s="19" t="n"/>
      <c r="C67" s="19" t="n"/>
      <c r="D67" s="19" t="n"/>
      <c r="E67" s="19" t="n"/>
      <c r="F67" s="19" t="n"/>
    </row>
    <row r="68">
      <c r="A68" s="19" t="inlineStr">
        <is>
          <t>Экс.колонна 3</t>
        </is>
      </c>
      <c r="B68" s="19" t="inlineStr">
        <is>
          <t>Долото</t>
        </is>
      </c>
      <c r="C68" s="19" t="n">
        <v>0.35</v>
      </c>
      <c r="D68" s="19" t="n">
        <v>219.1</v>
      </c>
      <c r="E68" s="19" t="n"/>
      <c r="F68" s="19" t="n"/>
    </row>
    <row r="69">
      <c r="A69" s="19" t="n"/>
      <c r="B69" s="19" t="inlineStr">
        <is>
          <t>ВЗД</t>
        </is>
      </c>
      <c r="C69" s="19" t="n">
        <v>9.199999999999999</v>
      </c>
      <c r="D69" s="19" t="n">
        <v>178</v>
      </c>
      <c r="E69" s="19" t="n"/>
      <c r="F69" s="19" t="n"/>
    </row>
    <row r="70">
      <c r="A70" s="19" t="n"/>
      <c r="B70" s="19" t="inlineStr">
        <is>
          <t>Обратный клапан</t>
        </is>
      </c>
      <c r="C70" s="19" t="n">
        <v>0.6</v>
      </c>
      <c r="D70" s="19" t="n">
        <v>178</v>
      </c>
      <c r="E70" s="19" t="n">
        <v>71.40000000000001</v>
      </c>
      <c r="F70" s="19" t="n"/>
    </row>
    <row r="71">
      <c r="A71" s="19" t="n"/>
      <c r="B71" s="19" t="inlineStr">
        <is>
          <t>Калибратор</t>
        </is>
      </c>
      <c r="C71" s="19" t="n">
        <v>1.3</v>
      </c>
      <c r="D71" s="19" t="n">
        <v>216</v>
      </c>
      <c r="E71" s="19" t="n">
        <v>71</v>
      </c>
      <c r="F71" s="19" t="n"/>
    </row>
    <row r="72">
      <c r="A72" s="19" t="n"/>
      <c r="B72" s="19" t="inlineStr">
        <is>
          <t>Переводник</t>
        </is>
      </c>
      <c r="C72" s="19" t="n">
        <v>0.4</v>
      </c>
      <c r="D72" s="19" t="n">
        <v>178</v>
      </c>
      <c r="E72" s="19" t="n">
        <v>76</v>
      </c>
      <c r="F72" s="19" t="n"/>
    </row>
    <row r="73">
      <c r="A73" s="19" t="n"/>
      <c r="B73" s="19" t="inlineStr">
        <is>
          <t>MWD/LWD</t>
        </is>
      </c>
      <c r="C73" s="19" t="n">
        <v>10.5</v>
      </c>
      <c r="D73" s="19" t="n">
        <v>172</v>
      </c>
      <c r="E73" s="19" t="n">
        <v>74</v>
      </c>
      <c r="F73" s="19" t="n"/>
    </row>
    <row r="74">
      <c r="A74" s="19" t="n"/>
      <c r="B74" s="19" t="inlineStr">
        <is>
          <t>НУБТ</t>
        </is>
      </c>
      <c r="C74" s="19" t="n">
        <v>9.199999999999999</v>
      </c>
      <c r="D74" s="19" t="n">
        <v>172</v>
      </c>
      <c r="E74" s="19" t="n">
        <v>74</v>
      </c>
      <c r="F74" s="19" t="n"/>
    </row>
    <row r="75">
      <c r="A75" s="19" t="n"/>
      <c r="B75" s="19" t="inlineStr">
        <is>
          <t>Циркуляционный переводник</t>
        </is>
      </c>
      <c r="C75" s="19" t="n">
        <v>1.6</v>
      </c>
      <c r="D75" s="19" t="n">
        <v>178</v>
      </c>
      <c r="E75" s="19" t="n">
        <v>71.09999999999999</v>
      </c>
      <c r="F75" s="19" t="n"/>
    </row>
    <row r="76">
      <c r="A76" s="19" t="n"/>
      <c r="B76" s="19" t="inlineStr">
        <is>
          <t>УБТС</t>
        </is>
      </c>
      <c r="C76" s="19" t="n">
        <v>18.5</v>
      </c>
      <c r="D76" s="19" t="n">
        <v>177.8</v>
      </c>
      <c r="E76" s="19" t="n">
        <v>71.40000000000001</v>
      </c>
      <c r="F76" s="19" t="n"/>
    </row>
    <row r="77">
      <c r="A77" s="19" t="n"/>
      <c r="B77" s="19" t="inlineStr">
        <is>
          <t>Ясс</t>
        </is>
      </c>
      <c r="C77" s="19" t="n">
        <v>7.3</v>
      </c>
      <c r="D77" s="19" t="n">
        <v>171</v>
      </c>
      <c r="E77" s="19" t="n">
        <v>57</v>
      </c>
      <c r="F77" s="19" t="n"/>
    </row>
    <row r="78">
      <c r="A78" s="19" t="n"/>
      <c r="B78" s="19" t="inlineStr">
        <is>
          <t>ТБТ</t>
        </is>
      </c>
      <c r="C78" s="19" t="n">
        <v>73.2</v>
      </c>
      <c r="D78" s="19" t="n">
        <v>127</v>
      </c>
      <c r="E78" s="19" t="n">
        <v>76.2</v>
      </c>
      <c r="F78" s="19" t="n"/>
    </row>
    <row r="79">
      <c r="A79" s="19" t="n"/>
      <c r="B79" s="19" t="n"/>
      <c r="C79" s="19" t="n"/>
      <c r="D79" s="19" t="n"/>
      <c r="E79" s="19" t="n"/>
      <c r="F79" s="19" t="n"/>
    </row>
    <row r="80">
      <c r="A80" s="19" t="inlineStr">
        <is>
          <t>Хвостовик</t>
        </is>
      </c>
      <c r="B80" s="19" t="inlineStr">
        <is>
          <t>Долото</t>
        </is>
      </c>
      <c r="C80" s="19" t="n">
        <v>0.3</v>
      </c>
      <c r="D80" s="19" t="n">
        <v>155.6</v>
      </c>
      <c r="E80" s="19" t="n"/>
      <c r="F80" s="19" t="n"/>
    </row>
    <row r="81">
      <c r="A81" s="19" t="n"/>
      <c r="B81" s="19" t="inlineStr">
        <is>
          <t>ВЗД</t>
        </is>
      </c>
      <c r="C81" s="19" t="n">
        <v>8.5</v>
      </c>
      <c r="D81" s="19" t="n">
        <v>127</v>
      </c>
      <c r="E81" s="19" t="n"/>
      <c r="F81" s="19" t="n"/>
    </row>
    <row r="82">
      <c r="A82" s="19" t="n"/>
      <c r="B82" s="19" t="inlineStr">
        <is>
          <t>Обратный клапан</t>
        </is>
      </c>
      <c r="C82" s="19" t="n">
        <v>0.5</v>
      </c>
      <c r="D82" s="19" t="n">
        <v>127</v>
      </c>
      <c r="E82" s="19" t="n">
        <v>57</v>
      </c>
      <c r="F82" s="19" t="n"/>
    </row>
    <row r="83">
      <c r="A83" s="19" t="n"/>
      <c r="B83" s="19" t="inlineStr">
        <is>
          <t>Калибратор</t>
        </is>
      </c>
      <c r="C83" s="19" t="n">
        <v>1.2</v>
      </c>
      <c r="D83" s="19" t="n">
        <v>154</v>
      </c>
      <c r="E83" s="19" t="n">
        <v>57</v>
      </c>
      <c r="F83" s="19" t="n"/>
    </row>
    <row r="84">
      <c r="A84" s="19" t="n"/>
      <c r="B84" s="19" t="inlineStr">
        <is>
          <t>Переводник</t>
        </is>
      </c>
      <c r="C84" s="19" t="n">
        <v>0.4</v>
      </c>
      <c r="D84" s="19" t="n">
        <v>127</v>
      </c>
      <c r="E84" s="19" t="n">
        <v>57</v>
      </c>
      <c r="F84" s="19" t="n"/>
    </row>
    <row r="85">
      <c r="A85" s="19" t="n"/>
      <c r="B85" s="19" t="inlineStr">
        <is>
          <t>MWD</t>
        </is>
      </c>
      <c r="C85" s="19" t="n">
        <v>9.5</v>
      </c>
      <c r="D85" s="19" t="n">
        <v>121</v>
      </c>
      <c r="E85" s="19" t="n">
        <v>54</v>
      </c>
      <c r="F85" s="19" t="n"/>
    </row>
    <row r="86">
      <c r="A86" s="19" t="n"/>
      <c r="B86" s="19" t="inlineStr">
        <is>
          <t>НУБТ</t>
        </is>
      </c>
      <c r="C86" s="19" t="n">
        <v>9.199999999999999</v>
      </c>
      <c r="D86" s="19" t="n">
        <v>121</v>
      </c>
      <c r="E86" s="19" t="n">
        <v>54</v>
      </c>
      <c r="F86" s="19" t="n"/>
    </row>
    <row r="87">
      <c r="A87" s="19" t="n"/>
      <c r="B87" s="19" t="inlineStr">
        <is>
          <t>УБТ</t>
        </is>
      </c>
      <c r="C87" s="19" t="n">
        <v>18</v>
      </c>
      <c r="D87" s="19" t="n">
        <v>121</v>
      </c>
      <c r="E87" s="19" t="n">
        <v>57</v>
      </c>
      <c r="F87" s="19" t="n"/>
    </row>
    <row r="88">
      <c r="A88" s="19" t="n"/>
      <c r="B88" s="19" t="inlineStr">
        <is>
          <t>Ясс</t>
        </is>
      </c>
      <c r="C88" s="19" t="n">
        <v>6.5</v>
      </c>
      <c r="D88" s="19" t="n">
        <v>120</v>
      </c>
      <c r="E88" s="19" t="n">
        <v>50</v>
      </c>
      <c r="F88" s="19" t="n"/>
    </row>
    <row r="89">
      <c r="A89" s="19" t="n"/>
      <c r="B89" s="19" t="inlineStr">
        <is>
          <t>ТБТ</t>
        </is>
      </c>
      <c r="C89" s="19" t="n">
        <v>54</v>
      </c>
      <c r="D89" s="19" t="n">
        <v>88.90000000000001</v>
      </c>
      <c r="E89" s="19" t="n">
        <v>50.8</v>
      </c>
      <c r="F89" s="19" t="n"/>
    </row>
    <row r="90">
      <c r="A90" s="19" t="n"/>
      <c r="B90" s="19" t="n"/>
      <c r="C90" s="19" t="n"/>
      <c r="D90" s="19" t="n"/>
      <c r="E90" s="19" t="n"/>
      <c r="F90" s="19" t="n"/>
    </row>
    <row r="91">
      <c r="A91" s="19" t="n"/>
      <c r="B91" s="19" t="n"/>
      <c r="C91" s="19" t="n"/>
      <c r="D91" s="19" t="n"/>
      <c r="E91" s="19" t="n"/>
      <c r="F91" s="19" t="n"/>
    </row>
    <row r="92">
      <c r="A92" s="19" t="n"/>
      <c r="B92" s="19" t="n"/>
      <c r="C92" s="19" t="n"/>
      <c r="D92" s="19" t="n"/>
      <c r="E92" s="19" t="n"/>
      <c r="F92" s="19" t="n"/>
    </row>
    <row r="93">
      <c r="A93" s="19" t="n"/>
      <c r="B93" s="19" t="n"/>
      <c r="C93" s="19" t="n"/>
      <c r="D93" s="19" t="n"/>
      <c r="E93" s="19" t="n"/>
      <c r="F93" s="19" t="n"/>
    </row>
    <row r="94">
      <c r="A94" s="19" t="n"/>
      <c r="B94" s="19" t="n"/>
      <c r="C94" s="19" t="n"/>
      <c r="D94" s="19" t="n"/>
      <c r="E94" s="19" t="n"/>
      <c r="F94" s="19" t="n"/>
    </row>
    <row r="95"/>
    <row r="96"/>
    <row r="97"/>
    <row r="98"/>
    <row r="99"/>
  </sheetData>
  <mergeCells count="1">
    <mergeCell ref="A2:F2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20" customWidth="1" min="4" max="4"/>
    <col width="19" customWidth="1" min="5" max="5"/>
    <col width="20" customWidth="1" min="6" max="6"/>
    <col width="26" customWidth="1" min="7" max="7"/>
  </cols>
  <sheetData>
    <row r="1">
      <c r="A1" s="4" t="inlineStr">
        <is>
          <t>БУРИЛЬНАЯ КОЛОННА ВЫШЕ КНБК</t>
        </is>
      </c>
    </row>
    <row r="2" ht="30" customHeight="1">
      <c r="A2" s="3" t="inlineStr">
        <is>
          <t>Чем добирается колонна от верха КНБК до устья. Длину указывать не нужно - программа добьёт колонну до устья сама.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</row>
    <row r="4" ht="36" customHeight="1">
      <c r="A4" s="15" t="inlineStr">
        <is>
          <t>Интервал</t>
        </is>
      </c>
      <c r="B4" s="15" t="inlineStr">
        <is>
          <t>Наименование</t>
        </is>
      </c>
      <c r="C4" s="15" t="inlineStr">
        <is>
          <t>Ø наружный трубы, мм</t>
        </is>
      </c>
      <c r="D4" s="15" t="inlineStr">
        <is>
          <t>Ø внутренний трубы, мм</t>
        </is>
      </c>
      <c r="E4" s="15" t="inlineStr">
        <is>
          <t>Ø наружный замка, мм</t>
        </is>
      </c>
      <c r="F4" s="15" t="inlineStr">
        <is>
          <t>Ø внутренний замка, мм</t>
        </is>
      </c>
      <c r="G4" s="15" t="inlineStr">
        <is>
          <t>Примечание</t>
        </is>
      </c>
    </row>
    <row r="5">
      <c r="A5" s="16" t="inlineStr">
        <is>
          <t>Направление</t>
        </is>
      </c>
      <c r="B5" s="19" t="inlineStr">
        <is>
          <t>СБТ 127х9,19 Е</t>
        </is>
      </c>
      <c r="C5" s="19" t="n">
        <v>127</v>
      </c>
      <c r="D5" s="19" t="n">
        <v>108.6</v>
      </c>
      <c r="E5" s="19" t="n">
        <v>168.3</v>
      </c>
      <c r="F5" s="19" t="n">
        <v>82.59999999999999</v>
      </c>
      <c r="G5" s="19" t="inlineStr"/>
    </row>
    <row r="6">
      <c r="A6" s="16" t="inlineStr">
        <is>
          <t>Кондуктор 1</t>
        </is>
      </c>
      <c r="B6" s="19" t="inlineStr">
        <is>
          <t>СБТ 127х9,19 Е</t>
        </is>
      </c>
      <c r="C6" s="19" t="n">
        <v>127</v>
      </c>
      <c r="D6" s="19" t="n">
        <v>108.6</v>
      </c>
      <c r="E6" s="19" t="n">
        <v>168.3</v>
      </c>
      <c r="F6" s="19" t="n">
        <v>82.59999999999999</v>
      </c>
      <c r="G6" s="19" t="inlineStr"/>
    </row>
    <row r="7">
      <c r="A7" s="16" t="inlineStr">
        <is>
          <t>Кондуктор 2</t>
        </is>
      </c>
      <c r="B7" s="19" t="inlineStr">
        <is>
          <t>СБТ 127х9,19 Е</t>
        </is>
      </c>
      <c r="C7" s="19" t="n">
        <v>127</v>
      </c>
      <c r="D7" s="19" t="n">
        <v>108.6</v>
      </c>
      <c r="E7" s="19" t="n">
        <v>168.3</v>
      </c>
      <c r="F7" s="19" t="n">
        <v>82.59999999999999</v>
      </c>
      <c r="G7" s="19" t="inlineStr"/>
    </row>
    <row r="8">
      <c r="A8" s="16" t="inlineStr">
        <is>
          <t>Экс.колонна 1</t>
        </is>
      </c>
      <c r="B8" s="19" t="inlineStr">
        <is>
          <t>СБТ 127х9,19 Е</t>
        </is>
      </c>
      <c r="C8" s="19" t="n">
        <v>127</v>
      </c>
      <c r="D8" s="19" t="n">
        <v>108.6</v>
      </c>
      <c r="E8" s="19" t="n">
        <v>168.3</v>
      </c>
      <c r="F8" s="19" t="n">
        <v>82.59999999999999</v>
      </c>
      <c r="G8" s="19" t="inlineStr"/>
    </row>
    <row r="9">
      <c r="A9" s="16" t="inlineStr">
        <is>
          <t>Экс.колонна 2</t>
        </is>
      </c>
      <c r="B9" s="19" t="inlineStr">
        <is>
          <t>СБТ 127х9,19 Е</t>
        </is>
      </c>
      <c r="C9" s="19" t="n">
        <v>127</v>
      </c>
      <c r="D9" s="19" t="n">
        <v>108.6</v>
      </c>
      <c r="E9" s="19" t="n">
        <v>168.3</v>
      </c>
      <c r="F9" s="19" t="n">
        <v>82.59999999999999</v>
      </c>
      <c r="G9" s="19" t="inlineStr"/>
    </row>
    <row r="10">
      <c r="A10" s="16" t="inlineStr">
        <is>
          <t>Экс.колонна 3</t>
        </is>
      </c>
      <c r="B10" s="19" t="inlineStr">
        <is>
          <t>СБТ 127х9,19 Е</t>
        </is>
      </c>
      <c r="C10" s="19" t="n">
        <v>127</v>
      </c>
      <c r="D10" s="19" t="n">
        <v>108.6</v>
      </c>
      <c r="E10" s="19" t="n">
        <v>168.3</v>
      </c>
      <c r="F10" s="19" t="n">
        <v>82.59999999999999</v>
      </c>
      <c r="G10" s="19" t="inlineStr"/>
    </row>
    <row r="11">
      <c r="A11" s="16" t="inlineStr">
        <is>
          <t>Хвостовик</t>
        </is>
      </c>
      <c r="B11" s="19" t="inlineStr">
        <is>
          <t>СБТ 101,6х8,38</t>
        </is>
      </c>
      <c r="C11" s="19" t="n">
        <v>101.6</v>
      </c>
      <c r="D11" s="19" t="n">
        <v>84.8</v>
      </c>
      <c r="E11" s="19" t="n">
        <v>139.7</v>
      </c>
      <c r="F11" s="19" t="n">
        <v>71.40000000000001</v>
      </c>
      <c r="G11" s="19" t="inlineStr"/>
    </row>
    <row r="13">
      <c r="A13" s="20" t="inlineStr">
        <is>
          <t>ПРИМЕР →</t>
        </is>
      </c>
      <c r="B13" s="21" t="inlineStr">
        <is>
          <t>СБТ 127х9,19 Е</t>
        </is>
      </c>
      <c r="C13" s="21" t="n">
        <v>127</v>
      </c>
      <c r="D13" s="21" t="n">
        <v>108.6</v>
      </c>
      <c r="E13" s="21" t="n">
        <v>168.3</v>
      </c>
      <c r="F13" s="21" t="n">
        <v>82.59999999999999</v>
      </c>
      <c r="G13" s="21" t="inlineStr">
        <is>
          <t>замок ЗП-162</t>
        </is>
      </c>
    </row>
  </sheetData>
  <mergeCells count="1">
    <mergeCell ref="A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3" customWidth="1" min="3" max="3"/>
    <col width="44" customWidth="1" min="4" max="4"/>
  </cols>
  <sheetData>
    <row r="1">
      <c r="A1" s="4" t="inlineStr">
        <is>
          <t>БУРОВЫЕ НАСОСЫ</t>
        </is>
      </c>
    </row>
    <row r="2" ht="30" customHeight="1">
      <c r="A2" s="3" t="inlineStr">
        <is>
          <t>Параметры насосной группы. Если по секциям ставятся разные втулки - укажите это в примечании.</t>
        </is>
      </c>
    </row>
    <row r="3" ht="4" customHeight="1">
      <c r="A3" s="14" t="n"/>
      <c r="B3" s="14" t="n"/>
      <c r="C3" s="14" t="n"/>
      <c r="D3" s="14" t="n"/>
    </row>
    <row r="4" ht="36" customHeight="1">
      <c r="A4" s="15" t="inlineStr">
        <is>
          <t>Параметр</t>
        </is>
      </c>
      <c r="B4" s="15" t="inlineStr">
        <is>
          <t>Значение</t>
        </is>
      </c>
      <c r="C4" s="15" t="inlineStr">
        <is>
          <t>Ед. изм.</t>
        </is>
      </c>
      <c r="D4" s="15" t="inlineStr">
        <is>
          <t>Примечание</t>
        </is>
      </c>
    </row>
    <row r="5">
      <c r="A5" s="16" t="inlineStr">
        <is>
          <t>Тип насоса</t>
        </is>
      </c>
      <c r="B5" s="26" t="inlineStr">
        <is>
          <t>УНБТ-950A</t>
        </is>
      </c>
      <c r="C5" s="23" t="inlineStr"/>
      <c r="D5" s="18" t="inlineStr">
        <is>
          <t>например УНБТ-950, НБТ-600, F-1600</t>
        </is>
      </c>
    </row>
    <row r="6">
      <c r="A6" s="16" t="inlineStr">
        <is>
          <t>Количество насосов в работе</t>
        </is>
      </c>
      <c r="B6" s="26" t="n">
        <v>2</v>
      </c>
      <c r="C6" s="23" t="inlineStr">
        <is>
          <t>шт.</t>
        </is>
      </c>
      <c r="D6" s="18" t="inlineStr"/>
    </row>
    <row r="7">
      <c r="A7" s="16" t="inlineStr">
        <is>
          <t>Число цилиндров</t>
        </is>
      </c>
      <c r="B7" s="26" t="n">
        <v>3</v>
      </c>
      <c r="C7" s="23" t="inlineStr">
        <is>
          <t>шт.</t>
        </is>
      </c>
      <c r="D7" s="18" t="inlineStr">
        <is>
          <t>трёхпоршневой = 3</t>
        </is>
      </c>
    </row>
    <row r="8">
      <c r="A8" s="16" t="inlineStr">
        <is>
          <t>Диаметр втулки</t>
        </is>
      </c>
      <c r="B8" s="26" t="n">
        <v>160</v>
      </c>
      <c r="C8" s="23" t="inlineStr">
        <is>
          <t>мм</t>
        </is>
      </c>
      <c r="D8" s="18" t="inlineStr"/>
    </row>
    <row r="9">
      <c r="A9" s="16" t="inlineStr">
        <is>
          <t>Длина хода поршня</t>
        </is>
      </c>
      <c r="B9" s="26" t="n">
        <v>305</v>
      </c>
      <c r="C9" s="23" t="inlineStr">
        <is>
          <t>мм</t>
        </is>
      </c>
      <c r="D9" s="18" t="inlineStr"/>
    </row>
    <row r="10">
      <c r="A10" s="16" t="inlineStr">
        <is>
          <t>Коэффициент наполнения</t>
        </is>
      </c>
      <c r="B10" s="26" t="n">
        <v>0.9</v>
      </c>
      <c r="C10" s="23" t="inlineStr">
        <is>
          <t>-</t>
        </is>
      </c>
      <c r="D10" s="18" t="inlineStr">
        <is>
          <t>обычно 0,85…0,95</t>
        </is>
      </c>
    </row>
    <row r="11">
      <c r="A11" s="16" t="inlineStr">
        <is>
          <t>Максимальное число ходов</t>
        </is>
      </c>
      <c r="B11" s="26" t="n">
        <v>110</v>
      </c>
      <c r="C11" s="23" t="inlineStr">
        <is>
          <t>1/мин</t>
        </is>
      </c>
      <c r="D11" s="18" t="inlineStr"/>
    </row>
    <row r="12">
      <c r="A12" s="16" t="inlineStr">
        <is>
          <t>Максимальное давление насоса</t>
        </is>
      </c>
      <c r="B12" s="26" t="n">
        <v>255</v>
      </c>
      <c r="C12" s="23" t="inlineStr">
        <is>
          <t>атм</t>
        </is>
      </c>
      <c r="D12" s="18" t="inlineStr">
        <is>
          <t>по паспорту для данной втулки</t>
        </is>
      </c>
    </row>
    <row r="13">
      <c r="A13" s="16" t="inlineStr">
        <is>
          <t>Максимальное давление обвязки</t>
        </is>
      </c>
      <c r="B13" s="26" t="n">
        <v>214</v>
      </c>
      <c r="C13" s="23" t="inlineStr">
        <is>
          <t>атм</t>
        </is>
      </c>
      <c r="D13" s="18" t="inlineStr">
        <is>
          <t>ограничение манифольда</t>
        </is>
      </c>
    </row>
    <row r="14">
      <c r="A14" s="16" t="inlineStr">
        <is>
          <t>Мощность одного насоса</t>
        </is>
      </c>
      <c r="B14" s="26" t="n">
        <v>950</v>
      </c>
      <c r="C14" s="23" t="inlineStr">
        <is>
          <t>кВт</t>
        </is>
      </c>
      <c r="D14" s="18" t="inlineStr"/>
    </row>
    <row r="15">
      <c r="A15" s="16" t="inlineStr">
        <is>
          <t>КПД насоса</t>
        </is>
      </c>
      <c r="B15" s="26" t="n">
        <v>0.85</v>
      </c>
      <c r="C15" s="23" t="inlineStr">
        <is>
          <t>-</t>
        </is>
      </c>
      <c r="D15" s="18" t="inlineStr">
        <is>
          <t>обычно 0,80…0,90</t>
        </is>
      </c>
    </row>
    <row r="16">
      <c r="A16" s="16" t="inlineStr">
        <is>
          <t>Давление срабатывания предохранительного клапана</t>
        </is>
      </c>
      <c r="B16" s="26" t="n">
        <v>224</v>
      </c>
      <c r="C16" s="23" t="inlineStr">
        <is>
          <t>атм</t>
        </is>
      </c>
      <c r="D16" s="18" t="inlineStr"/>
    </row>
  </sheetData>
  <mergeCells count="1">
    <mergeCell ref="A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40" customWidth="1" min="4" max="4"/>
  </cols>
  <sheetData>
    <row r="1">
      <c r="A1" s="4" t="inlineStr">
        <is>
          <t>НАЗЕМНАЯ ОБВЯЗКА</t>
        </is>
      </c>
    </row>
    <row r="2" ht="30" customHeight="1">
      <c r="A2" s="3" t="inlineStr">
        <is>
          <t>Путь раствора от насоса до бурильной колонны. Потери считаются поэлементно.</t>
        </is>
      </c>
    </row>
    <row r="3" ht="4" customHeight="1">
      <c r="A3" s="14" t="n"/>
      <c r="B3" s="14" t="n"/>
      <c r="C3" s="14" t="n"/>
      <c r="D3" s="14" t="n"/>
    </row>
    <row r="4" ht="36" customHeight="1">
      <c r="A4" s="15" t="inlineStr">
        <is>
          <t>Элемент</t>
        </is>
      </c>
      <c r="B4" s="15" t="inlineStr">
        <is>
          <t>Длина, м</t>
        </is>
      </c>
      <c r="C4" s="15" t="inlineStr">
        <is>
          <t>Ø внутренний, мм</t>
        </is>
      </c>
      <c r="D4" s="15" t="inlineStr">
        <is>
          <t>Примечание</t>
        </is>
      </c>
    </row>
    <row r="5">
      <c r="A5" s="16" t="inlineStr">
        <is>
          <t>Стояк (манифольд высокого давления)</t>
        </is>
      </c>
      <c r="B5" s="19" t="n">
        <v>14</v>
      </c>
      <c r="C5" s="19" t="n">
        <v>100</v>
      </c>
      <c r="D5" s="19" t="inlineStr"/>
    </row>
    <row r="6">
      <c r="A6" s="16" t="inlineStr">
        <is>
          <t>Буровой рукав</t>
        </is>
      </c>
      <c r="B6" s="19" t="n">
        <v>16</v>
      </c>
      <c r="C6" s="19" t="n">
        <v>76</v>
      </c>
      <c r="D6" s="19" t="inlineStr"/>
    </row>
    <row r="7">
      <c r="A7" s="16" t="inlineStr">
        <is>
          <t>Вертлюг</t>
        </is>
      </c>
      <c r="B7" s="19" t="n">
        <v>3</v>
      </c>
      <c r="C7" s="19" t="n">
        <v>75</v>
      </c>
      <c r="D7" s="19" t="inlineStr"/>
    </row>
    <row r="8">
      <c r="A8" s="16" t="inlineStr">
        <is>
          <t>Ведущая труба / верхний привод</t>
        </is>
      </c>
      <c r="B8" s="19" t="n">
        <v>12</v>
      </c>
      <c r="C8" s="19" t="n">
        <v>88.90000000000001</v>
      </c>
      <c r="D8" s="19" t="inlineStr"/>
    </row>
    <row r="9">
      <c r="A9" s="16" t="inlineStr">
        <is>
          <t>Прочее</t>
        </is>
      </c>
      <c r="B9" s="19" t="inlineStr">
        <is>
          <t>н/д</t>
        </is>
      </c>
      <c r="C9" s="19" t="inlineStr">
        <is>
          <t>н/д</t>
        </is>
      </c>
      <c r="D9" s="19" t="inlineStr"/>
    </row>
    <row r="10">
      <c r="A10" s="16" t="inlineStr"/>
      <c r="B10" s="19" t="inlineStr">
        <is>
          <t>н/д</t>
        </is>
      </c>
      <c r="C10" s="19" t="inlineStr">
        <is>
          <t>н/д</t>
        </is>
      </c>
      <c r="D10" s="19" t="inlineStr"/>
    </row>
    <row r="12">
      <c r="A12" s="20" t="inlineStr">
        <is>
          <t>ПРИМЕР →</t>
        </is>
      </c>
      <c r="B12" s="21" t="n">
        <v>14</v>
      </c>
      <c r="C12" s="21" t="n">
        <v>100</v>
      </c>
      <c r="D12" s="21" t="inlineStr">
        <is>
          <t>типовое значение</t>
        </is>
      </c>
    </row>
  </sheetData>
  <mergeCells count="1">
    <mergeCell ref="A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8" customWidth="1" min="4" max="4"/>
    <col width="30" customWidth="1" min="5" max="5"/>
  </cols>
  <sheetData>
    <row r="1">
      <c r="A1" s="4" t="inlineStr">
        <is>
          <t>ШЛАМ И ТРЕБОВАНИЯ ПО ОЧИСТКЕ СТВОЛА</t>
        </is>
      </c>
    </row>
    <row r="2" ht="30" customHeight="1">
      <c r="A2" s="3" t="inlineStr">
        <is>
          <t>Плотность породы брать не нужно - она уже есть на листе «04 Разрез и давления». Здесь только характеристики частиц и критерии из РД предприятия.</t>
        </is>
      </c>
    </row>
    <row r="3" ht="4" customHeight="1">
      <c r="A3" s="14" t="n"/>
      <c r="B3" s="14" t="n"/>
      <c r="C3" s="14" t="n"/>
      <c r="D3" s="14" t="n"/>
      <c r="E3" s="14" t="n"/>
    </row>
    <row r="4" ht="36" customHeight="1">
      <c r="A4" s="15" t="inlineStr">
        <is>
          <t>Интервал</t>
        </is>
      </c>
      <c r="B4" s="15" t="inlineStr">
        <is>
          <t>Характерный размер частиц, мм</t>
        </is>
      </c>
      <c r="C4" s="15" t="inlineStr">
        <is>
          <t>Допустимая концентрация шлама, %</t>
        </is>
      </c>
      <c r="D4" s="15" t="inlineStr">
        <is>
          <t>Мин. скорость в затрубье по РД, м/с</t>
        </is>
      </c>
      <c r="E4" s="15" t="inlineStr">
        <is>
          <t>Примечание</t>
        </is>
      </c>
    </row>
    <row r="5">
      <c r="A5" s="16" t="inlineStr">
        <is>
          <t>Направление</t>
        </is>
      </c>
      <c r="B5" s="19" t="n">
        <v>8</v>
      </c>
      <c r="C5" s="19" t="n">
        <v>5</v>
      </c>
      <c r="D5" s="19" t="n">
        <v>0.5</v>
      </c>
      <c r="E5" s="19" t="inlineStr"/>
    </row>
    <row r="6">
      <c r="A6" s="16" t="inlineStr">
        <is>
          <t>Кондуктор 1</t>
        </is>
      </c>
      <c r="B6" s="19" t="n">
        <v>6</v>
      </c>
      <c r="C6" s="19" t="n">
        <v>5</v>
      </c>
      <c r="D6" s="19" t="n">
        <v>0.5</v>
      </c>
      <c r="E6" s="19" t="inlineStr"/>
    </row>
    <row r="7">
      <c r="A7" s="16" t="inlineStr">
        <is>
          <t>Кондуктор 2</t>
        </is>
      </c>
      <c r="B7" s="19" t="n">
        <v>5</v>
      </c>
      <c r="C7" s="19" t="n">
        <v>5</v>
      </c>
      <c r="D7" s="19" t="n">
        <v>0.6</v>
      </c>
      <c r="E7" s="19" t="inlineStr"/>
    </row>
    <row r="8">
      <c r="A8" s="16" t="inlineStr">
        <is>
          <t>Экс.колонна 1</t>
        </is>
      </c>
      <c r="B8" s="19" t="n">
        <v>5</v>
      </c>
      <c r="C8" s="19" t="n">
        <v>5</v>
      </c>
      <c r="D8" s="19" t="n">
        <v>0.9</v>
      </c>
      <c r="E8" s="19" t="inlineStr"/>
    </row>
    <row r="9">
      <c r="A9" s="16" t="inlineStr">
        <is>
          <t>Экс.колонна 2</t>
        </is>
      </c>
      <c r="B9" s="19" t="n">
        <v>4</v>
      </c>
      <c r="C9" s="19" t="n">
        <v>5</v>
      </c>
      <c r="D9" s="19" t="n">
        <v>0.9</v>
      </c>
      <c r="E9" s="19" t="inlineStr"/>
    </row>
    <row r="10">
      <c r="A10" s="16" t="inlineStr">
        <is>
          <t>Экс.колонна 3</t>
        </is>
      </c>
      <c r="B10" s="19" t="n">
        <v>4</v>
      </c>
      <c r="C10" s="19" t="n">
        <v>5</v>
      </c>
      <c r="D10" s="19" t="n">
        <v>1</v>
      </c>
      <c r="E10" s="19" t="inlineStr"/>
    </row>
    <row r="11">
      <c r="A11" s="16" t="inlineStr">
        <is>
          <t>Хвостовик</t>
        </is>
      </c>
      <c r="B11" s="19" t="n">
        <v>3</v>
      </c>
      <c r="C11" s="19" t="n">
        <v>5</v>
      </c>
      <c r="D11" s="19" t="n">
        <v>1</v>
      </c>
      <c r="E11" s="19" t="inlineStr"/>
    </row>
    <row r="13">
      <c r="A13" s="20" t="inlineStr">
        <is>
          <t>ПРИМЕР →</t>
        </is>
      </c>
      <c r="B13" s="21" t="n">
        <v>5</v>
      </c>
      <c r="C13" s="21" t="n">
        <v>5</v>
      </c>
      <c r="D13" s="21" t="n">
        <v>0.9</v>
      </c>
      <c r="E13" s="21" t="inlineStr">
        <is>
          <t>по РД предприятия</t>
        </is>
      </c>
    </row>
  </sheetData>
  <mergeCells count="1">
    <mergeCell ref="A2: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4" customWidth="1" min="4" max="4"/>
  </cols>
  <sheetData>
    <row r="1">
      <c r="A1" s="4" t="inlineStr">
        <is>
          <t>ТЕМПЕРАТУРНЫЙ РЕЖИМ ПО СТВОЛУ</t>
        </is>
      </c>
    </row>
    <row r="2" ht="30" customHeight="1">
      <c r="A2" s="3" t="inlineStr">
        <is>
          <t>Влияет на реологию и плотность раствора на забое. Достаточно 5-10 точек либо температуры на устье и геотермического градиента.</t>
        </is>
      </c>
    </row>
    <row r="3" ht="4" customHeight="1">
      <c r="A3" s="14" t="n"/>
      <c r="B3" s="14" t="n"/>
      <c r="C3" s="14" t="n"/>
      <c r="D3" s="14" t="n"/>
    </row>
    <row r="4" ht="36" customHeight="1">
      <c r="A4" s="15" t="inlineStr">
        <is>
          <t>Глубина, м TVD</t>
        </is>
      </c>
      <c r="B4" s="15" t="inlineStr">
        <is>
          <t>Температура пласта, °C</t>
        </is>
      </c>
      <c r="C4" s="15" t="inlineStr">
        <is>
          <t>Температура раствора на входе, °C</t>
        </is>
      </c>
      <c r="D4" s="15" t="inlineStr">
        <is>
          <t>Примечание</t>
        </is>
      </c>
    </row>
    <row r="5">
      <c r="A5" s="19" t="n">
        <v>0</v>
      </c>
      <c r="B5" s="19" t="n">
        <v>6</v>
      </c>
      <c r="C5" s="19" t="n">
        <v>25</v>
      </c>
      <c r="D5" s="19" t="inlineStr"/>
    </row>
    <row r="6">
      <c r="A6" s="19" t="n">
        <v>200</v>
      </c>
      <c r="B6" s="19" t="n">
        <v>10.4</v>
      </c>
      <c r="C6" s="19" t="n">
        <v>25</v>
      </c>
      <c r="D6" s="19" t="inlineStr"/>
    </row>
    <row r="7">
      <c r="A7" s="19" t="n">
        <v>400</v>
      </c>
      <c r="B7" s="19" t="n">
        <v>14.8</v>
      </c>
      <c r="C7" s="19" t="n">
        <v>25</v>
      </c>
      <c r="D7" s="19" t="inlineStr"/>
    </row>
    <row r="8">
      <c r="A8" s="19" t="n">
        <v>600</v>
      </c>
      <c r="B8" s="19" t="n">
        <v>19.2</v>
      </c>
      <c r="C8" s="19" t="n">
        <v>25</v>
      </c>
      <c r="D8" s="19" t="inlineStr"/>
    </row>
    <row r="9">
      <c r="A9" s="19" t="n">
        <v>800</v>
      </c>
      <c r="B9" s="19" t="n">
        <v>23.6</v>
      </c>
      <c r="C9" s="19" t="n">
        <v>25</v>
      </c>
      <c r="D9" s="19" t="inlineStr"/>
    </row>
    <row r="10">
      <c r="A10" s="19" t="n">
        <v>1000</v>
      </c>
      <c r="B10" s="19" t="n">
        <v>28</v>
      </c>
      <c r="C10" s="19" t="n">
        <v>25</v>
      </c>
      <c r="D10" s="19" t="inlineStr"/>
    </row>
    <row r="11">
      <c r="A11" s="19" t="n">
        <v>1200</v>
      </c>
      <c r="B11" s="19" t="n">
        <v>32.4</v>
      </c>
      <c r="C11" s="19" t="n">
        <v>25</v>
      </c>
      <c r="D11" s="19" t="inlineStr"/>
    </row>
    <row r="12">
      <c r="A12" s="19" t="n">
        <v>1400</v>
      </c>
      <c r="B12" s="19" t="n">
        <v>36.8</v>
      </c>
      <c r="C12" s="19" t="n">
        <v>25</v>
      </c>
      <c r="D12" s="19" t="inlineStr"/>
    </row>
    <row r="13">
      <c r="A13" s="19" t="n">
        <v>1523</v>
      </c>
      <c r="B13" s="19" t="n">
        <v>39.5</v>
      </c>
      <c r="C13" s="19" t="n">
        <v>25</v>
      </c>
      <c r="D13" s="19" t="inlineStr"/>
    </row>
    <row r="14">
      <c r="A14" s="19" t="n"/>
      <c r="B14" s="19" t="n"/>
      <c r="C14" s="19" t="n"/>
      <c r="D14" s="19" t="n"/>
    </row>
    <row r="15">
      <c r="A15" s="19" t="n"/>
      <c r="B15" s="19" t="n"/>
      <c r="C15" s="19" t="n"/>
      <c r="D15" s="19" t="n"/>
    </row>
    <row r="16">
      <c r="A16" s="19" t="n"/>
      <c r="B16" s="19" t="n"/>
      <c r="C16" s="19" t="n"/>
      <c r="D16" s="19" t="n"/>
    </row>
    <row r="18">
      <c r="A18" s="20" t="inlineStr">
        <is>
          <t>ПРИМЕР →</t>
        </is>
      </c>
      <c r="B18" s="21" t="n">
        <v>1000</v>
      </c>
      <c r="C18" s="21" t="n">
        <v>28</v>
      </c>
      <c r="D18" s="21" t="n">
        <v>25</v>
      </c>
      <c r="E18" s="21" t="inlineStr">
        <is>
          <t>градиент 2,2 °C/100 м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2026-09-15T05:14:25Z</dcterms:created>
  <dcterms:modified xmlns:dcterms="http://purl.org/dc/terms/" xmlns:xsi="http://www.w3.org/2001/XMLSchema-instance" xsi:type="dcterms:W3CDTF">2026-09-15T05:14:26Z</dcterms:modified>
</cp:coreProperties>
</file>